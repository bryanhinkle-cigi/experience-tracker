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olliers.sharepoint.com/sites/CISG-SFUS/Shared Documents/General/Investment Group/"/>
    </mc:Choice>
  </mc:AlternateContent>
  <xr:revisionPtr revIDLastSave="277" documentId="8_{FBF6CFE9-8E12-4C96-8CC1-6CEA26B28534}" xr6:coauthVersionLast="47" xr6:coauthVersionMax="47" xr10:uidLastSave="{6AB1934A-AC80-4494-8C53-AC4A41268C85}"/>
  <bookViews>
    <workbookView xWindow="-120" yWindow="-120" windowWidth="29040" windowHeight="15720" xr2:uid="{27DC020A-7466-4574-A1D7-11DCDDD823C7}"/>
  </bookViews>
  <sheets>
    <sheet name="CISG Experience" sheetId="1" r:id="rId1"/>
    <sheet name="Summary Stats" sheetId="6" r:id="rId2"/>
  </sheets>
  <definedNames>
    <definedName name="_xlnm._FilterDatabase" localSheetId="0" hidden="1">'CISG Experience'!$A$3:$O$282</definedName>
    <definedName name="_xlnm.Print_Area" localSheetId="0">'CISG Experience'!$A$1:$O$282</definedName>
  </definedNames>
  <calcPr calcId="191029" iterate="1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2" i="1" l="1"/>
  <c r="H282" i="1"/>
  <c r="I282" i="1"/>
  <c r="J282" i="1"/>
  <c r="K282" i="1"/>
  <c r="L282" i="1"/>
  <c r="M282" i="1"/>
  <c r="N282" i="1"/>
  <c r="O282" i="1"/>
  <c r="H5" i="1"/>
  <c r="E5" i="1"/>
  <c r="E4" i="1"/>
  <c r="H4" i="1"/>
  <c r="H6" i="1" l="1"/>
  <c r="E6" i="1"/>
  <c r="H10" i="1"/>
  <c r="E10" i="1"/>
  <c r="H7" i="1"/>
  <c r="E7" i="1"/>
  <c r="E9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5" i="1"/>
  <c r="E207" i="1"/>
  <c r="E206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04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8" i="1"/>
  <c r="F282" i="1" l="1"/>
  <c r="H8" i="1" l="1"/>
</calcChain>
</file>

<file path=xl/sharedStrings.xml><?xml version="1.0" encoding="utf-8"?>
<sst xmlns="http://schemas.openxmlformats.org/spreadsheetml/2006/main" count="574" uniqueCount="355">
  <si>
    <t>Sales Transactions</t>
  </si>
  <si>
    <t>Address</t>
  </si>
  <si>
    <t>District</t>
  </si>
  <si>
    <t>Price</t>
  </si>
  <si>
    <t>Square Feet</t>
  </si>
  <si>
    <t>Close Date</t>
  </si>
  <si>
    <t>200 Pine</t>
  </si>
  <si>
    <t>North Financial</t>
  </si>
  <si>
    <t>3600 3rd</t>
  </si>
  <si>
    <t>Dog Patch</t>
  </si>
  <si>
    <t>602 Fleming</t>
  </si>
  <si>
    <t>Vallejo</t>
  </si>
  <si>
    <t>1031 Post</t>
  </si>
  <si>
    <t>Nob Hill</t>
  </si>
  <si>
    <t>1560 Sycamore Avenue</t>
  </si>
  <si>
    <t>Hercules</t>
  </si>
  <si>
    <t>71 Powell</t>
  </si>
  <si>
    <t>Union Square</t>
  </si>
  <si>
    <t>35 Powell</t>
  </si>
  <si>
    <t>360 5th Street</t>
  </si>
  <si>
    <t>SOMA</t>
  </si>
  <si>
    <t>87-91 McAllister</t>
  </si>
  <si>
    <t>Civic Center</t>
  </si>
  <si>
    <t>1035 Howard</t>
  </si>
  <si>
    <t>SOMA West</t>
  </si>
  <si>
    <t>200 Powell</t>
  </si>
  <si>
    <t>240 6th St</t>
  </si>
  <si>
    <t>940 Howard</t>
  </si>
  <si>
    <t>1635 Broadway</t>
  </si>
  <si>
    <t>Oakland</t>
  </si>
  <si>
    <t>1515 Webster</t>
  </si>
  <si>
    <t>601 Eddy</t>
  </si>
  <si>
    <t>678 Mission</t>
  </si>
  <si>
    <t>Yerba Buena</t>
  </si>
  <si>
    <t>Palo Alto</t>
  </si>
  <si>
    <t>1630 Lombard</t>
  </si>
  <si>
    <t>Marina</t>
  </si>
  <si>
    <t>109 Stevenson</t>
  </si>
  <si>
    <t>South Financial District</t>
  </si>
  <si>
    <t>650 Divisadero</t>
  </si>
  <si>
    <t>NOPA</t>
  </si>
  <si>
    <t>906 &amp; 908 Broadway</t>
  </si>
  <si>
    <t>Russian Hill</t>
  </si>
  <si>
    <t>768 Harrison</t>
  </si>
  <si>
    <t>150 Green</t>
  </si>
  <si>
    <t>North Waterfront</t>
  </si>
  <si>
    <t>420 Bryant</t>
  </si>
  <si>
    <t>133 Kearny</t>
  </si>
  <si>
    <t>661 Howard</t>
  </si>
  <si>
    <t>Mira: 110-150 Folsom &amp; 275 Main</t>
  </si>
  <si>
    <t>Mira: 110 Folsom, #110</t>
  </si>
  <si>
    <t>3900 Thornton</t>
  </si>
  <si>
    <t>Fremont</t>
  </si>
  <si>
    <t>719-725 Bridgeway, Sausalito</t>
  </si>
  <si>
    <t>Sausalito</t>
  </si>
  <si>
    <t>1430 Yosemite, San Francisco</t>
  </si>
  <si>
    <t>Bayview</t>
  </si>
  <si>
    <t>1000 La Playa, Hayward</t>
  </si>
  <si>
    <t>Hayward</t>
  </si>
  <si>
    <t>1154-1158 Howard, San Francisco</t>
  </si>
  <si>
    <t>1504 Franklin, Oakland</t>
  </si>
  <si>
    <t>400 Castro</t>
  </si>
  <si>
    <t>Castro</t>
  </si>
  <si>
    <t>54 Geary</t>
  </si>
  <si>
    <t>1979 Mission</t>
  </si>
  <si>
    <t>Mission</t>
  </si>
  <si>
    <t>490 Brannan Street</t>
  </si>
  <si>
    <t>530 Sansome (Fire Station)</t>
  </si>
  <si>
    <t>1 Mission Bay Park Retail</t>
  </si>
  <si>
    <t>Mission Bay</t>
  </si>
  <si>
    <t>3297 Mt. Diablo, Walnut Creek</t>
  </si>
  <si>
    <t>Walnut Creek</t>
  </si>
  <si>
    <t>2395 Sacramento</t>
  </si>
  <si>
    <t>Pacific Heights</t>
  </si>
  <si>
    <t>957-959 De Haro Street</t>
  </si>
  <si>
    <t>Potrero Hill</t>
  </si>
  <si>
    <t>1649 Adrian, Burlingame</t>
  </si>
  <si>
    <t>Burlingame</t>
  </si>
  <si>
    <t>685 Ellis</t>
  </si>
  <si>
    <t>2744 E. 7th, Oakland</t>
  </si>
  <si>
    <t>988 Harrison</t>
  </si>
  <si>
    <t>420 Sutter</t>
  </si>
  <si>
    <t>25 North</t>
  </si>
  <si>
    <t>Healdsburg, CA</t>
  </si>
  <si>
    <t>3512 16th Street</t>
  </si>
  <si>
    <t>5200 Golden Foothills, El Dorado</t>
  </si>
  <si>
    <t>El Dorado</t>
  </si>
  <si>
    <t>2525 Van Ness</t>
  </si>
  <si>
    <t>Cow Hollow</t>
  </si>
  <si>
    <t>One Mission Bay Tower</t>
  </si>
  <si>
    <t>1585 Folsom</t>
  </si>
  <si>
    <t>333 Broadway</t>
  </si>
  <si>
    <t>Jackson Square</t>
  </si>
  <si>
    <t>1275 Folsom</t>
  </si>
  <si>
    <t>1288 Howard</t>
  </si>
  <si>
    <t>soma</t>
  </si>
  <si>
    <t>1650 Pacific</t>
  </si>
  <si>
    <t>1101-1123 Sutter</t>
  </si>
  <si>
    <t>130 Townsend</t>
  </si>
  <si>
    <t>617 Bryant</t>
  </si>
  <si>
    <t>524 Howard</t>
  </si>
  <si>
    <t>356 Harriet</t>
  </si>
  <si>
    <t>Parcel K North</t>
  </si>
  <si>
    <t>Dogpatch</t>
  </si>
  <si>
    <t>355 Bryant</t>
  </si>
  <si>
    <t>170 Valencia</t>
  </si>
  <si>
    <t>Mission District</t>
  </si>
  <si>
    <t>1196 Columbus</t>
  </si>
  <si>
    <t>North Beach</t>
  </si>
  <si>
    <t>244 Jackson</t>
  </si>
  <si>
    <t>360 5th St.</t>
  </si>
  <si>
    <t>36 Tehama</t>
  </si>
  <si>
    <t>Sheedy Site</t>
  </si>
  <si>
    <t>855 Bryant</t>
  </si>
  <si>
    <t>33-37 Main St., Tiburon (Sam's Anchor Café)</t>
  </si>
  <si>
    <t>Tiburon</t>
  </si>
  <si>
    <t>1155 Mission</t>
  </si>
  <si>
    <t>Mid-Market</t>
  </si>
  <si>
    <t>2301 Lombard</t>
  </si>
  <si>
    <t>2299 Market</t>
  </si>
  <si>
    <t>1000 Broadway-The Wysteria</t>
  </si>
  <si>
    <t>The Madrone: #2</t>
  </si>
  <si>
    <t>290 Division</t>
  </si>
  <si>
    <t>1320 Washington</t>
  </si>
  <si>
    <t>1601 Mission</t>
  </si>
  <si>
    <t>950 Tennessee</t>
  </si>
  <si>
    <t>816 Folsom</t>
  </si>
  <si>
    <t>Glassworks</t>
  </si>
  <si>
    <t>The Madrone: 1 &amp; 3</t>
  </si>
  <si>
    <t>1098 Harrison</t>
  </si>
  <si>
    <t>1660 &amp; 1680 Mission</t>
  </si>
  <si>
    <t>1161 Mission</t>
  </si>
  <si>
    <t>2166 Chestnut</t>
  </si>
  <si>
    <t>525 Harrison</t>
  </si>
  <si>
    <t>Rincon Hill</t>
  </si>
  <si>
    <t>88 Arkansas</t>
  </si>
  <si>
    <t>700 Eddy</t>
  </si>
  <si>
    <t>Potrero Power Plant 1201 Illinois</t>
  </si>
  <si>
    <t>220 Post</t>
  </si>
  <si>
    <t>531-535 Bryant</t>
  </si>
  <si>
    <t>744 Harrison</t>
  </si>
  <si>
    <t>901 Tennsessee</t>
  </si>
  <si>
    <t>1133 S. Hope, Los Angeles</t>
  </si>
  <si>
    <t>750 Harrison</t>
  </si>
  <si>
    <t>1195 65th St, Emeryville</t>
  </si>
  <si>
    <t>2558 Mission</t>
  </si>
  <si>
    <t>435 Bryant Street</t>
  </si>
  <si>
    <t>1554 Market</t>
  </si>
  <si>
    <t>500 Treat Avenue</t>
  </si>
  <si>
    <t>Showplace Square</t>
  </si>
  <si>
    <t>149 Morris</t>
  </si>
  <si>
    <t xml:space="preserve">20 Haight </t>
  </si>
  <si>
    <t>Haight</t>
  </si>
  <si>
    <t>355-369 Sutter</t>
  </si>
  <si>
    <t>1700 California</t>
  </si>
  <si>
    <t xml:space="preserve">1275 Mission </t>
  </si>
  <si>
    <t>100 Hooper</t>
  </si>
  <si>
    <t>The Bancroft Center</t>
  </si>
  <si>
    <t>140 Maiden Lane</t>
  </si>
  <si>
    <t>6440 Shellmound, Emeryville</t>
  </si>
  <si>
    <t>436 Bryant Street</t>
  </si>
  <si>
    <t>555 Howard Street</t>
  </si>
  <si>
    <t>99 Rausch/1140 Folsom</t>
  </si>
  <si>
    <t>733 Front Street</t>
  </si>
  <si>
    <t>755 Sansome</t>
  </si>
  <si>
    <t>NFD</t>
  </si>
  <si>
    <t>325 Fremont</t>
  </si>
  <si>
    <t>119 7th Street</t>
  </si>
  <si>
    <t>690 Market</t>
  </si>
  <si>
    <t>34 Mason</t>
  </si>
  <si>
    <t>Mission Bay Block 1</t>
  </si>
  <si>
    <t>1550 Mission: Goodwill Site</t>
  </si>
  <si>
    <t>Mid-Market/Civic Center</t>
  </si>
  <si>
    <t>33 Falmouth</t>
  </si>
  <si>
    <t>41 Tehama</t>
  </si>
  <si>
    <t>69 Maiden Lane</t>
  </si>
  <si>
    <t>555 Sutter Street</t>
  </si>
  <si>
    <t>Alexandria Theatre 5400 Geary</t>
  </si>
  <si>
    <t>Richmond</t>
  </si>
  <si>
    <t>1 Daniel Burnham Court</t>
  </si>
  <si>
    <t>1001 Canal Blvd, Richmond</t>
  </si>
  <si>
    <t>1550 Bryant Street, The Hamm's Building</t>
  </si>
  <si>
    <t>The Mission</t>
  </si>
  <si>
    <t>211 Sutter Street</t>
  </si>
  <si>
    <t>33 Powell</t>
  </si>
  <si>
    <t>25 Executive Court, Napa</t>
  </si>
  <si>
    <t>140 South Van Ness</t>
  </si>
  <si>
    <t>801 State Access Rd., Novato</t>
  </si>
  <si>
    <t>1098 Harrison St</t>
  </si>
  <si>
    <t>143 2nd Street</t>
  </si>
  <si>
    <t>1390 Market Fox Plaza</t>
  </si>
  <si>
    <t>2198 Market St.</t>
  </si>
  <si>
    <t>Upper Market</t>
  </si>
  <si>
    <t>747 Front Street</t>
  </si>
  <si>
    <t>710 Sansome</t>
  </si>
  <si>
    <t>1335 Sutter</t>
  </si>
  <si>
    <t>901 Battery Street</t>
  </si>
  <si>
    <t>1415 Mission Street</t>
  </si>
  <si>
    <t>1 Franklin Street</t>
  </si>
  <si>
    <t>1409 Sutter</t>
  </si>
  <si>
    <t>110 The Embarcadero</t>
  </si>
  <si>
    <t>660 Market</t>
  </si>
  <si>
    <t>815 Eddy St.</t>
  </si>
  <si>
    <t>731 Market</t>
  </si>
  <si>
    <t xml:space="preserve">72 Townsend </t>
  </si>
  <si>
    <t xml:space="preserve">840 Brannan </t>
  </si>
  <si>
    <t>558 Sacramento</t>
  </si>
  <si>
    <t>717 Market St.</t>
  </si>
  <si>
    <t>Museum Parc Garage, 300 3rd St.</t>
  </si>
  <si>
    <t>143 2nd St.</t>
  </si>
  <si>
    <t>Potrero Launch 2235 3rd St.</t>
  </si>
  <si>
    <t>3135 24th St.</t>
  </si>
  <si>
    <t>301 Brannan</t>
  </si>
  <si>
    <t>1000 16th St.: Daggett Place</t>
  </si>
  <si>
    <t>753-777 Davis St.</t>
  </si>
  <si>
    <t>880 Harrison St.</t>
  </si>
  <si>
    <t>115 Sansome</t>
  </si>
  <si>
    <t>Redwood Business Park, Petaluma</t>
  </si>
  <si>
    <t>1368 Lincoln Ave., San Rafael</t>
  </si>
  <si>
    <t>500 Terry Francois</t>
  </si>
  <si>
    <t>250 Brannan</t>
  </si>
  <si>
    <t>300 Main St., The Infinity</t>
  </si>
  <si>
    <t>301 Folsom C2</t>
  </si>
  <si>
    <t>1285 Sutter</t>
  </si>
  <si>
    <t>301 Folsom C1</t>
  </si>
  <si>
    <t>208 Utah</t>
  </si>
  <si>
    <t>45 Lansing</t>
  </si>
  <si>
    <t>170 Columbus Ave.</t>
  </si>
  <si>
    <t>1455 N. McDowell, Petaluma</t>
  </si>
  <si>
    <t>300 Funston</t>
  </si>
  <si>
    <t>345 Folsom</t>
  </si>
  <si>
    <t>1095 Market Street</t>
  </si>
  <si>
    <t>475 6th Street</t>
  </si>
  <si>
    <t>1799 Union</t>
  </si>
  <si>
    <t>274 Brannan</t>
  </si>
  <si>
    <t>1944 Union</t>
  </si>
  <si>
    <t>735 Battery</t>
  </si>
  <si>
    <t>1723 Union</t>
  </si>
  <si>
    <t>181 Fremont</t>
  </si>
  <si>
    <t>921 Front</t>
  </si>
  <si>
    <t xml:space="preserve">20 California </t>
  </si>
  <si>
    <t>1440 Harrison</t>
  </si>
  <si>
    <t>1 Grant</t>
  </si>
  <si>
    <t>410 Townsend</t>
  </si>
  <si>
    <t>39-41 Grant</t>
  </si>
  <si>
    <t>800 Market</t>
  </si>
  <si>
    <t>Walgreens Modesto</t>
  </si>
  <si>
    <t>832-840 Sutter Street</t>
  </si>
  <si>
    <t>50 1st</t>
  </si>
  <si>
    <t>535 Mission Street</t>
  </si>
  <si>
    <t>630 Third Street</t>
  </si>
  <si>
    <t>299 Valencia</t>
  </si>
  <si>
    <t>Washington/Hotaling</t>
  </si>
  <si>
    <t>Rite Aid, Hercules</t>
  </si>
  <si>
    <t>300 Broadway</t>
  </si>
  <si>
    <t>1401 3rd Street</t>
  </si>
  <si>
    <t>26 O'Farrell Street</t>
  </si>
  <si>
    <t>Costello - Market</t>
  </si>
  <si>
    <t>25 Kearny Street</t>
  </si>
  <si>
    <t>233 Post Street</t>
  </si>
  <si>
    <t>134 Maiden Lane</t>
  </si>
  <si>
    <t>301/345 Brannan Street</t>
  </si>
  <si>
    <t>139 Townsend Street</t>
  </si>
  <si>
    <t>166 Grant Avenue</t>
  </si>
  <si>
    <t>350 Sansome Street</t>
  </si>
  <si>
    <t>949 Market Street</t>
  </si>
  <si>
    <t>500 Montgomery</t>
  </si>
  <si>
    <t>520 Montgomery</t>
  </si>
  <si>
    <t>966 Market Street</t>
  </si>
  <si>
    <t>972 Market Street</t>
  </si>
  <si>
    <t>Walgreens, Palo Alto</t>
  </si>
  <si>
    <t>Jack in the Box, Las Vegas</t>
  </si>
  <si>
    <t>717 Battery Street</t>
  </si>
  <si>
    <t>680 2nd Street</t>
  </si>
  <si>
    <t>599 Post Street</t>
  </si>
  <si>
    <t>200 Kansas Street</t>
  </si>
  <si>
    <t>222 Broadway, Oakland</t>
  </si>
  <si>
    <t>300 Spear Street</t>
  </si>
  <si>
    <t>444 Spear Street</t>
  </si>
  <si>
    <t>724 Van Ness Avenue (Symphony Towers)</t>
  </si>
  <si>
    <t>Las Vegas Convention Center</t>
  </si>
  <si>
    <t>201 Sansome Street</t>
  </si>
  <si>
    <t>654 Misson Street</t>
  </si>
  <si>
    <t>939 Market Street</t>
  </si>
  <si>
    <t>80 Natomas (The Century)</t>
  </si>
  <si>
    <t>CVS, Florida</t>
  </si>
  <si>
    <t>1527-1533 Pine Street</t>
  </si>
  <si>
    <t>222 Powell Street</t>
  </si>
  <si>
    <t>704 Sansome Street</t>
  </si>
  <si>
    <t>300 Treat Avenue</t>
  </si>
  <si>
    <t>171 2nd Street</t>
  </si>
  <si>
    <t>38 San Jacinto</t>
  </si>
  <si>
    <t>Wilmington (Sailor's Union), SoCal</t>
  </si>
  <si>
    <t>699 2nd Street</t>
  </si>
  <si>
    <t>819 Ellis Street</t>
  </si>
  <si>
    <t>149 2nd Street</t>
  </si>
  <si>
    <t>$/SF</t>
  </si>
  <si>
    <t>Darren Kuiper</t>
  </si>
  <si>
    <t>Building Type</t>
  </si>
  <si>
    <t>Office</t>
  </si>
  <si>
    <t>Industrial</t>
  </si>
  <si>
    <t>Mixed-Use</t>
  </si>
  <si>
    <t>Retail</t>
  </si>
  <si>
    <t>Residential Land</t>
  </si>
  <si>
    <t>Berkeley</t>
  </si>
  <si>
    <t>Office/Retail</t>
  </si>
  <si>
    <t>Total</t>
  </si>
  <si>
    <t>Will Cliff</t>
  </si>
  <si>
    <t>CISG</t>
  </si>
  <si>
    <t>Tim Mass</t>
  </si>
  <si>
    <t>Row Labels</t>
  </si>
  <si>
    <t>Grand Total</t>
  </si>
  <si>
    <t>(All)</t>
  </si>
  <si>
    <t>Sum of Price</t>
  </si>
  <si>
    <t>Year</t>
  </si>
  <si>
    <t>Seller</t>
  </si>
  <si>
    <t>Buyer</t>
  </si>
  <si>
    <t>M&amp;E LLC</t>
  </si>
  <si>
    <t>Rubicon Point Partners</t>
  </si>
  <si>
    <t>Count of Building Type</t>
  </si>
  <si>
    <t>Deca</t>
  </si>
  <si>
    <t>Hotel/Residential Land</t>
  </si>
  <si>
    <t>Tenderloin</t>
  </si>
  <si>
    <t>Lead Broker</t>
  </si>
  <si>
    <t>Tony Crossley</t>
  </si>
  <si>
    <t>Retail Condo</t>
  </si>
  <si>
    <t>2605 Middlefield Road</t>
  </si>
  <si>
    <t>Multi-Family</t>
  </si>
  <si>
    <t>360 Pine</t>
  </si>
  <si>
    <t>Clint Reilly</t>
  </si>
  <si>
    <t>Forderer Property Group</t>
  </si>
  <si>
    <t>2168-2180 Shattuck Ave</t>
  </si>
  <si>
    <t>2920 Lyon</t>
  </si>
  <si>
    <t>Residential</t>
  </si>
  <si>
    <t>120 Maiden Lane</t>
  </si>
  <si>
    <t>Uris Acquistions</t>
  </si>
  <si>
    <t>The Titlton-Maiden Lane Partners</t>
  </si>
  <si>
    <t>Commentary</t>
  </si>
  <si>
    <t>Colliers competed in a competitive broker selection process and was awarded the sale assignment of the value-add 5-story office/retail building.
Colliers successfully marketed the building generating very strong interest from the investor community.  The Property is currently under contract and due to close in July 2026.</t>
  </si>
  <si>
    <t>Invesmaster</t>
  </si>
  <si>
    <t>Local Family</t>
  </si>
  <si>
    <t>SOMA East</t>
  </si>
  <si>
    <t>685 3rd</t>
  </si>
  <si>
    <t>Local Business Owner</t>
  </si>
  <si>
    <t>Local Investor</t>
  </si>
  <si>
    <t xml:space="preserve">Colliers was hired to sell this 2-story industrial building with large rear lot on behalf of a local developer.  The Property previously had entitlements for a 24-unit residential building with ground floor retail.
Colliers marketed the Property widely and was able to source an owner-user buyer who believed there was some future (potential) value in the building if developed into residential down road. 
</t>
  </si>
  <si>
    <t>Office/Residential Land</t>
  </si>
  <si>
    <t>Colliers was hired to sell this 2-story mixed-use commercial and residential building on behalf of an owner-user who no longer used the building.  
Colliers successfully marketed the property as a value-add opportunity for investors, owner-user or residential developers to reposition the property as a single- family home and/or as a multi-unit residential building.</t>
  </si>
  <si>
    <t>233 Grant</t>
  </si>
  <si>
    <t>Hamburger Trust</t>
  </si>
  <si>
    <t>Occupancy</t>
  </si>
  <si>
    <t>Going-In Cap Rate</t>
  </si>
  <si>
    <t>Stabilized Cap Rate</t>
  </si>
  <si>
    <t>B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</si>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</sst>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  <numFmt numFmtId="165" formatCode="_(#,##0_);_(\(#,##0\);_(&quot;-&quot;??_);_(@_)"/>
    <numFmt numFmtId="166" formatCode="&quot;$&quot;#,##0.00"/>
    <numFmt numFmtId="167" formatCode="&quot;$&quot;#,##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  <font>
      <b/>
      <u/>
      <sz val="1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8"/>
      <color theme="0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1">
    <xf numFmtId="0" fontId="0" fillId="0" borderId="0" xfId="0"/>
    <xf numFmtId="3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2" fillId="2" borderId="0" xfId="0" applyFont="1" applyFill="1"/>
    <xf numFmtId="0" fontId="10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66" fontId="7" fillId="0" borderId="0" xfId="0" applyNumberFormat="1" applyFont="1"/>
    <xf numFmtId="9" fontId="2" fillId="2" borderId="0" xfId="0" applyNumberFormat="1" applyFont="1" applyFill="1"/>
    <xf numFmtId="10" fontId="2" fillId="2" borderId="0" xfId="0" applyNumberFormat="1" applyFont="1" applyFill="1"/>
    <xf numFmtId="0" fontId="14" fillId="0" borderId="0" xfId="0" applyFont="1" applyAlignment="1">
      <alignment vertical="center"/>
    </xf>
    <xf numFmtId="0" fontId="9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167" fontId="2" fillId="2" borderId="0" xfId="0" applyNumberFormat="1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166" fontId="2" fillId="2" borderId="0" xfId="0" applyNumberFormat="1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167" fontId="13" fillId="2" borderId="0" xfId="0" applyNumberFormat="1" applyFont="1" applyFill="1" applyAlignment="1">
      <alignment horizontal="center" vertical="center"/>
    </xf>
    <xf numFmtId="3" fontId="13" fillId="2" borderId="0" xfId="0" applyNumberFormat="1" applyFont="1" applyFill="1" applyAlignment="1">
      <alignment vertical="center"/>
    </xf>
    <xf numFmtId="166" fontId="13" fillId="2" borderId="0" xfId="0" applyNumberFormat="1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9" fontId="8" fillId="0" borderId="0" xfId="0" applyNumberFormat="1" applyFont="1" applyAlignment="1">
      <alignment vertical="center"/>
    </xf>
    <xf numFmtId="10" fontId="8" fillId="0" borderId="0" xfId="0" applyNumberFormat="1" applyFont="1" applyAlignment="1">
      <alignment vertical="center"/>
    </xf>
    <xf numFmtId="166" fontId="8" fillId="0" borderId="0" xfId="0" applyNumberFormat="1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167" fontId="4" fillId="0" borderId="0" xfId="2" applyNumberFormat="1" applyFont="1" applyFill="1" applyBorder="1" applyAlignment="1">
      <alignment horizontal="center" vertical="center"/>
    </xf>
    <xf numFmtId="167" fontId="8" fillId="0" borderId="0" xfId="0" applyNumberFormat="1" applyFont="1" applyAlignment="1">
      <alignment horizontal="center" vertical="center"/>
    </xf>
    <xf numFmtId="167" fontId="4" fillId="0" borderId="0" xfId="2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7" fontId="4" fillId="0" borderId="2" xfId="2" applyNumberFormat="1" applyFont="1" applyFill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17" fontId="4" fillId="0" borderId="0" xfId="0" applyNumberFormat="1" applyFont="1" applyAlignment="1">
      <alignment horizontal="center" vertical="center"/>
    </xf>
    <xf numFmtId="167" fontId="4" fillId="0" borderId="0" xfId="2" applyNumberFormat="1" applyFont="1" applyBorder="1" applyAlignment="1">
      <alignment horizontal="center" vertical="center" wrapText="1"/>
    </xf>
    <xf numFmtId="165" fontId="4" fillId="0" borderId="0" xfId="1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3" fontId="4" fillId="0" borderId="0" xfId="2" applyNumberFormat="1" applyFont="1" applyBorder="1" applyAlignment="1">
      <alignment horizontal="center" vertical="center" wrapText="1"/>
    </xf>
    <xf numFmtId="166" fontId="4" fillId="0" borderId="0" xfId="2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165" fontId="4" fillId="0" borderId="4" xfId="1" applyNumberFormat="1" applyFont="1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3" fontId="4" fillId="0" borderId="0" xfId="2" applyNumberFormat="1" applyFont="1" applyBorder="1" applyAlignment="1">
      <alignment horizontal="center" vertical="center"/>
    </xf>
    <xf numFmtId="166" fontId="4" fillId="0" borderId="0" xfId="2" applyNumberFormat="1" applyFont="1" applyBorder="1" applyAlignment="1">
      <alignment horizontal="center" vertical="center"/>
    </xf>
    <xf numFmtId="3" fontId="4" fillId="0" borderId="0" xfId="2" applyNumberFormat="1" applyFont="1" applyFill="1" applyBorder="1" applyAlignment="1">
      <alignment horizontal="center" vertical="center" wrapText="1"/>
    </xf>
    <xf numFmtId="166" fontId="4" fillId="0" borderId="0" xfId="2" applyNumberFormat="1" applyFont="1" applyFill="1" applyBorder="1" applyAlignment="1">
      <alignment horizontal="center" vertical="center" wrapText="1"/>
    </xf>
    <xf numFmtId="3" fontId="4" fillId="0" borderId="0" xfId="2" applyNumberFormat="1" applyFont="1" applyFill="1" applyBorder="1" applyAlignment="1">
      <alignment vertical="center"/>
    </xf>
    <xf numFmtId="166" fontId="4" fillId="0" borderId="0" xfId="2" applyNumberFormat="1" applyFont="1" applyFill="1" applyBorder="1" applyAlignment="1">
      <alignment vertical="center"/>
    </xf>
    <xf numFmtId="3" fontId="4" fillId="0" borderId="0" xfId="2" applyNumberFormat="1" applyFont="1" applyBorder="1" applyAlignment="1">
      <alignment vertical="center"/>
    </xf>
    <xf numFmtId="166" fontId="4" fillId="0" borderId="0" xfId="2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7" fontId="4" fillId="0" borderId="1" xfId="2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167" fontId="3" fillId="0" borderId="5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mber-Brown, Kai" refreshedDate="46050.339715277776" createdVersion="8" refreshedVersion="8" minRefreshableVersion="3" recordCount="273" xr:uid="{829EFCBE-8A7A-4B82-9BD1-D86313859462}">
  <cacheSource type="worksheet">
    <worksheetSource ref="A3:O281" sheet="CISG Experience"/>
  </cacheSource>
  <cacheFields count="11">
    <cacheField name="Address" numFmtId="0">
      <sharedItems/>
    </cacheField>
    <cacheField name="District" numFmtId="0">
      <sharedItems containsBlank="1" count="48">
        <s v="North Financial"/>
        <s v="Dog Patch"/>
        <s v="Berkeley"/>
        <s v="Vallejo"/>
        <s v="Nob Hill"/>
        <s v="Hercules"/>
        <s v="Union Square"/>
        <s v="SOMA"/>
        <s v="Civic Center"/>
        <s v="SOMA West"/>
        <s v="Oakland"/>
        <s v="San Francisco"/>
        <s v="Yerba Buena"/>
        <s v="Palo Alto"/>
        <s v="Marina"/>
        <s v="South Financial District"/>
        <s v="NOPA"/>
        <s v="Russian Hill"/>
        <s v="North Waterfront"/>
        <s v="Fremont"/>
        <s v="Sausalito"/>
        <s v="Bayview"/>
        <s v="Hayward"/>
        <s v="Castro"/>
        <s v="Mission"/>
        <s v="Mission Bay"/>
        <s v="Walnut Creek"/>
        <s v="Pacific Heights"/>
        <s v="Potrero Hill"/>
        <s v="Burlingame"/>
        <s v="Healdsburg, CA"/>
        <s v="El Dorado"/>
        <s v="Cow Hollow"/>
        <s v="Jackson Square"/>
        <s v="Dogpatch"/>
        <s v="Mission District"/>
        <s v="North Beach"/>
        <s v="Tiburon"/>
        <s v="Mid-Market"/>
        <s v="Rincon Hill"/>
        <m/>
        <s v="Showplace Square"/>
        <s v="Haight"/>
        <s v="NFD"/>
        <s v="Mid-Market/Civic Center"/>
        <s v="Richmond"/>
        <s v="The Mission"/>
        <s v="Upper Market"/>
      </sharedItems>
    </cacheField>
    <cacheField name="Building Type" numFmtId="0">
      <sharedItems containsBlank="1" count="8">
        <s v="Office"/>
        <s v="Industrial"/>
        <s v="Office/Retail"/>
        <m/>
        <s v="Mixed-Use"/>
        <s v="Retail"/>
        <s v="Residential Land"/>
        <s v="Retail/Office" u="1"/>
      </sharedItems>
    </cacheField>
    <cacheField name="Close Date" numFmtId="0">
      <sharedItems containsSemiMixedTypes="0" containsNonDate="0" containsDate="1" containsString="0" minDate="2003-01-31T00:00:00" maxDate="2025-12-30T00:00:00"/>
    </cacheField>
    <cacheField name="Year" numFmtId="0">
      <sharedItems containsSemiMixedTypes="0" containsString="0" containsNumber="1" containsInteger="1" minValue="2003" maxValue="2025" count="23">
        <n v="2025"/>
        <n v="2024"/>
        <n v="2023"/>
        <n v="2022"/>
        <n v="2021"/>
        <n v="2020"/>
        <n v="2019"/>
        <n v="2018"/>
        <n v="2017"/>
        <n v="2016"/>
        <n v="2015"/>
        <n v="2014"/>
        <n v="2013"/>
        <n v="2012"/>
        <n v="2011"/>
        <n v="2010"/>
        <n v="2009"/>
        <n v="2008"/>
        <n v="2007"/>
        <n v="2006"/>
        <n v="2005"/>
        <n v="2004"/>
        <n v="2003"/>
      </sharedItems>
    </cacheField>
    <cacheField name="Price" numFmtId="167">
      <sharedItems containsSemiMixedTypes="0" containsString="0" containsNumber="1" containsInteger="1" minValue="420000" maxValue="140250000"/>
    </cacheField>
    <cacheField name="Square Feet" numFmtId="3">
      <sharedItems containsString="0" containsBlank="1" containsNumber="1" containsInteger="1" minValue="49463" maxValue="49463"/>
    </cacheField>
    <cacheField name="$/SF" numFmtId="166">
      <sharedItems containsString="0" containsBlank="1" containsNumber="1" minValue="262.82271596951256" maxValue="262.82271596951256"/>
    </cacheField>
    <cacheField name="Seller" numFmtId="166">
      <sharedItems containsBlank="1"/>
    </cacheField>
    <cacheField name="Buyer" numFmtId="166">
      <sharedItems containsBlank="1"/>
    </cacheField>
    <cacheField name="Brok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3">
  <r>
    <s v="200 Pine"/>
    <x v="0"/>
    <x v="0"/>
    <d v="2025-12-29T00:00:00"/>
    <x v="0"/>
    <n v="13000000"/>
    <n v="49463"/>
    <n v="262.82271596951256"/>
    <s v="M&amp;E LLC"/>
    <s v="Rubicon Point Partners"/>
    <s v="Darren Kuiper"/>
  </r>
  <r>
    <s v="3600 3rd"/>
    <x v="1"/>
    <x v="1"/>
    <d v="2025-11-25T00:00:00"/>
    <x v="0"/>
    <n v="12881000"/>
    <m/>
    <m/>
    <m/>
    <m/>
    <s v="Will Cliff"/>
  </r>
  <r>
    <s v="2168-2180 Shattuck Avenue"/>
    <x v="2"/>
    <x v="2"/>
    <d v="2025-09-03T00:00:00"/>
    <x v="0"/>
    <n v="8125000"/>
    <m/>
    <m/>
    <m/>
    <m/>
    <s v="Will Cliff"/>
  </r>
  <r>
    <s v="602 Fleming"/>
    <x v="3"/>
    <x v="3"/>
    <d v="2025-08-07T00:00:00"/>
    <x v="0"/>
    <n v="420000"/>
    <m/>
    <m/>
    <m/>
    <m/>
    <m/>
  </r>
  <r>
    <s v="1031 Post"/>
    <x v="4"/>
    <x v="4"/>
    <d v="2025-07-03T00:00:00"/>
    <x v="0"/>
    <n v="1300000"/>
    <m/>
    <m/>
    <m/>
    <m/>
    <s v="Will Cliff"/>
  </r>
  <r>
    <s v="1560 Sycamore Avenue"/>
    <x v="5"/>
    <x v="3"/>
    <d v="2025-07-03T00:00:00"/>
    <x v="0"/>
    <n v="3325000"/>
    <m/>
    <m/>
    <m/>
    <m/>
    <m/>
  </r>
  <r>
    <s v="71 Powell"/>
    <x v="6"/>
    <x v="2"/>
    <d v="2025-07-01T00:00:00"/>
    <x v="0"/>
    <n v="7800000"/>
    <m/>
    <m/>
    <m/>
    <m/>
    <s v="Darren Kuiper"/>
  </r>
  <r>
    <s v="35 Powell"/>
    <x v="6"/>
    <x v="5"/>
    <d v="2025-05-30T00:00:00"/>
    <x v="0"/>
    <n v="7500000"/>
    <m/>
    <m/>
    <m/>
    <m/>
    <s v="Tim Mass"/>
  </r>
  <r>
    <s v="360 5th Street"/>
    <x v="7"/>
    <x v="6"/>
    <d v="2025-05-19T00:00:00"/>
    <x v="0"/>
    <n v="9000000"/>
    <m/>
    <m/>
    <m/>
    <m/>
    <m/>
  </r>
  <r>
    <s v="87-91 McAllister"/>
    <x v="8"/>
    <x v="3"/>
    <d v="2025-05-16T00:00:00"/>
    <x v="0"/>
    <n v="1200000"/>
    <m/>
    <m/>
    <m/>
    <m/>
    <m/>
  </r>
  <r>
    <s v="1035 Howard"/>
    <x v="9"/>
    <x v="0"/>
    <d v="2025-04-01T00:00:00"/>
    <x v="0"/>
    <n v="8000000"/>
    <m/>
    <m/>
    <m/>
    <m/>
    <m/>
  </r>
  <r>
    <s v="200 Powell"/>
    <x v="6"/>
    <x v="5"/>
    <d v="2025-04-01T00:00:00"/>
    <x v="0"/>
    <n v="7400000"/>
    <m/>
    <m/>
    <m/>
    <m/>
    <s v="Tim Mass"/>
  </r>
  <r>
    <s v="240 6th St"/>
    <x v="9"/>
    <x v="6"/>
    <d v="2024-11-01T00:00:00"/>
    <x v="1"/>
    <n v="5310000"/>
    <m/>
    <m/>
    <m/>
    <m/>
    <m/>
  </r>
  <r>
    <s v="940 Howard"/>
    <x v="9"/>
    <x v="3"/>
    <d v="2024-11-01T00:00:00"/>
    <x v="1"/>
    <n v="12500000"/>
    <m/>
    <m/>
    <m/>
    <m/>
    <m/>
  </r>
  <r>
    <s v="1635 Broadway"/>
    <x v="10"/>
    <x v="3"/>
    <d v="2024-08-15T00:00:00"/>
    <x v="1"/>
    <n v="1500000"/>
    <m/>
    <m/>
    <m/>
    <m/>
    <m/>
  </r>
  <r>
    <s v="1515 Webster"/>
    <x v="10"/>
    <x v="0"/>
    <d v="2024-08-15T00:00:00"/>
    <x v="1"/>
    <n v="22500000"/>
    <m/>
    <m/>
    <m/>
    <m/>
    <m/>
  </r>
  <r>
    <s v="601 Eddy"/>
    <x v="11"/>
    <x v="3"/>
    <d v="2024-08-07T00:00:00"/>
    <x v="1"/>
    <n v="9100000"/>
    <m/>
    <m/>
    <m/>
    <m/>
    <m/>
  </r>
  <r>
    <s v="678 Mission"/>
    <x v="12"/>
    <x v="2"/>
    <d v="2024-06-05T00:00:00"/>
    <x v="1"/>
    <n v="6650000"/>
    <m/>
    <m/>
    <m/>
    <m/>
    <m/>
  </r>
  <r>
    <s v="2605 Middlefield Road, Palo Alto"/>
    <x v="13"/>
    <x v="3"/>
    <d v="2024-06-03T00:00:00"/>
    <x v="1"/>
    <n v="10685000"/>
    <m/>
    <m/>
    <m/>
    <m/>
    <m/>
  </r>
  <r>
    <s v="1630 Lombard"/>
    <x v="14"/>
    <x v="3"/>
    <d v="2024-05-15T00:00:00"/>
    <x v="1"/>
    <n v="2030000"/>
    <m/>
    <m/>
    <m/>
    <m/>
    <m/>
  </r>
  <r>
    <s v="109 Stevenson"/>
    <x v="15"/>
    <x v="3"/>
    <d v="2024-03-25T00:00:00"/>
    <x v="1"/>
    <n v="3950000"/>
    <m/>
    <m/>
    <m/>
    <m/>
    <m/>
  </r>
  <r>
    <s v="650 Divisadero"/>
    <x v="16"/>
    <x v="3"/>
    <d v="2024-01-31T00:00:00"/>
    <x v="1"/>
    <n v="12250000"/>
    <m/>
    <m/>
    <m/>
    <m/>
    <m/>
  </r>
  <r>
    <s v="906 &amp; 908 Broadway"/>
    <x v="17"/>
    <x v="3"/>
    <d v="2024-01-04T00:00:00"/>
    <x v="1"/>
    <n v="3420000"/>
    <m/>
    <m/>
    <m/>
    <m/>
    <m/>
  </r>
  <r>
    <s v="768 Harrison"/>
    <x v="7"/>
    <x v="3"/>
    <d v="2023-11-23T00:00:00"/>
    <x v="2"/>
    <n v="2200000"/>
    <m/>
    <m/>
    <m/>
    <m/>
    <m/>
  </r>
  <r>
    <s v="150 Green"/>
    <x v="18"/>
    <x v="3"/>
    <d v="2023-10-01T00:00:00"/>
    <x v="2"/>
    <n v="11150000"/>
    <m/>
    <m/>
    <m/>
    <m/>
    <m/>
  </r>
  <r>
    <s v="420 Bryant"/>
    <x v="7"/>
    <x v="3"/>
    <d v="2023-07-28T00:00:00"/>
    <x v="2"/>
    <n v="4491000"/>
    <m/>
    <m/>
    <m/>
    <m/>
    <m/>
  </r>
  <r>
    <s v="133 Kearny"/>
    <x v="6"/>
    <x v="3"/>
    <d v="2023-03-28T00:00:00"/>
    <x v="2"/>
    <n v="10400000"/>
    <m/>
    <m/>
    <m/>
    <m/>
    <m/>
  </r>
  <r>
    <s v="661 Howard"/>
    <x v="12"/>
    <x v="3"/>
    <d v="2023-01-23T00:00:00"/>
    <x v="2"/>
    <n v="9900000"/>
    <m/>
    <m/>
    <m/>
    <m/>
    <m/>
  </r>
  <r>
    <s v="Mira: 110-150 Folsom &amp; 275 Main"/>
    <x v="12"/>
    <x v="3"/>
    <d v="2022-12-15T00:00:00"/>
    <x v="3"/>
    <n v="6100000"/>
    <m/>
    <m/>
    <m/>
    <m/>
    <m/>
  </r>
  <r>
    <s v="Mira: 110 Folsom, #110"/>
    <x v="12"/>
    <x v="3"/>
    <d v="2022-10-22T00:00:00"/>
    <x v="3"/>
    <n v="1150000"/>
    <m/>
    <m/>
    <m/>
    <m/>
    <m/>
  </r>
  <r>
    <s v="3900 Thornton"/>
    <x v="19"/>
    <x v="3"/>
    <d v="2022-10-22T00:00:00"/>
    <x v="3"/>
    <n v="6600000"/>
    <m/>
    <m/>
    <m/>
    <m/>
    <m/>
  </r>
  <r>
    <s v="719-725 Bridgeway, Sausalito"/>
    <x v="20"/>
    <x v="3"/>
    <d v="2022-10-01T00:00:00"/>
    <x v="3"/>
    <n v="3300000"/>
    <m/>
    <m/>
    <m/>
    <m/>
    <m/>
  </r>
  <r>
    <s v="1430 Yosemite, San Francisco"/>
    <x v="21"/>
    <x v="3"/>
    <d v="2022-08-22T00:00:00"/>
    <x v="3"/>
    <n v="15280000"/>
    <m/>
    <m/>
    <m/>
    <m/>
    <m/>
  </r>
  <r>
    <s v="1000 La Playa, Hayward"/>
    <x v="22"/>
    <x v="3"/>
    <d v="2022-05-22T00:00:00"/>
    <x v="3"/>
    <n v="9500000"/>
    <m/>
    <m/>
    <m/>
    <m/>
    <m/>
  </r>
  <r>
    <s v="1154-1158 Howard, San Francisco"/>
    <x v="7"/>
    <x v="3"/>
    <d v="2022-03-22T00:00:00"/>
    <x v="3"/>
    <n v="4200000"/>
    <m/>
    <m/>
    <m/>
    <m/>
    <m/>
  </r>
  <r>
    <s v="1504 Franklin, Oakland"/>
    <x v="10"/>
    <x v="3"/>
    <d v="2022-03-22T00:00:00"/>
    <x v="3"/>
    <n v="13600000"/>
    <m/>
    <m/>
    <m/>
    <m/>
    <m/>
  </r>
  <r>
    <s v="400 Castro"/>
    <x v="23"/>
    <x v="3"/>
    <d v="2022-03-22T00:00:00"/>
    <x v="3"/>
    <n v="7740000"/>
    <m/>
    <m/>
    <m/>
    <m/>
    <m/>
  </r>
  <r>
    <s v="54 Geary"/>
    <x v="6"/>
    <x v="3"/>
    <d v="2022-03-22T00:00:00"/>
    <x v="3"/>
    <n v="3472500"/>
    <m/>
    <m/>
    <m/>
    <m/>
    <m/>
  </r>
  <r>
    <s v="1979 Mission"/>
    <x v="24"/>
    <x v="6"/>
    <d v="2022-02-01T00:00:00"/>
    <x v="3"/>
    <n v="42760000"/>
    <m/>
    <m/>
    <m/>
    <m/>
    <m/>
  </r>
  <r>
    <s v="490 Brannan Street"/>
    <x v="7"/>
    <x v="3"/>
    <d v="2022-01-01T00:00:00"/>
    <x v="3"/>
    <n v="53000000"/>
    <m/>
    <m/>
    <m/>
    <m/>
    <m/>
  </r>
  <r>
    <s v="530 Sansome (Fire Station)"/>
    <x v="0"/>
    <x v="3"/>
    <d v="2021-10-21T00:00:00"/>
    <x v="4"/>
    <n v="25500000"/>
    <m/>
    <m/>
    <m/>
    <m/>
    <m/>
  </r>
  <r>
    <s v="1 Mission Bay Park Retail"/>
    <x v="25"/>
    <x v="3"/>
    <d v="2021-10-21T00:00:00"/>
    <x v="4"/>
    <n v="8500000"/>
    <m/>
    <m/>
    <m/>
    <m/>
    <m/>
  </r>
  <r>
    <s v="3297 Mt. Diablo, Walnut Creek"/>
    <x v="26"/>
    <x v="3"/>
    <d v="2021-09-21T00:00:00"/>
    <x v="4"/>
    <n v="2390000"/>
    <m/>
    <m/>
    <m/>
    <m/>
    <m/>
  </r>
  <r>
    <s v="2395 Sacramento"/>
    <x v="27"/>
    <x v="3"/>
    <d v="2021-08-21T00:00:00"/>
    <x v="4"/>
    <n v="9500000"/>
    <m/>
    <m/>
    <m/>
    <m/>
    <m/>
  </r>
  <r>
    <s v="957-959 De Haro Street"/>
    <x v="28"/>
    <x v="3"/>
    <d v="2021-07-01T00:00:00"/>
    <x v="4"/>
    <n v="2850000"/>
    <m/>
    <m/>
    <m/>
    <m/>
    <m/>
  </r>
  <r>
    <s v="1649 Adrian, Burlingame"/>
    <x v="29"/>
    <x v="3"/>
    <d v="2021-06-21T00:00:00"/>
    <x v="4"/>
    <n v="55000000"/>
    <m/>
    <m/>
    <m/>
    <m/>
    <m/>
  </r>
  <r>
    <s v="685 Ellis"/>
    <x v="8"/>
    <x v="3"/>
    <d v="2021-06-21T00:00:00"/>
    <x v="4"/>
    <n v="14000000"/>
    <m/>
    <m/>
    <m/>
    <m/>
    <m/>
  </r>
  <r>
    <s v="2744 E. 7th, Oakland"/>
    <x v="10"/>
    <x v="3"/>
    <d v="2021-06-21T00:00:00"/>
    <x v="4"/>
    <n v="1348000"/>
    <m/>
    <m/>
    <m/>
    <m/>
    <m/>
  </r>
  <r>
    <s v="988 Harrison"/>
    <x v="7"/>
    <x v="3"/>
    <d v="2020-11-20T00:00:00"/>
    <x v="5"/>
    <n v="11000000"/>
    <m/>
    <m/>
    <m/>
    <m/>
    <m/>
  </r>
  <r>
    <s v="420 Sutter"/>
    <x v="6"/>
    <x v="3"/>
    <d v="2020-09-01T00:00:00"/>
    <x v="5"/>
    <n v="9000000"/>
    <m/>
    <m/>
    <m/>
    <m/>
    <m/>
  </r>
  <r>
    <s v="25 North"/>
    <x v="30"/>
    <x v="3"/>
    <d v="2020-08-01T00:00:00"/>
    <x v="5"/>
    <n v="8000000"/>
    <m/>
    <m/>
    <m/>
    <m/>
    <m/>
  </r>
  <r>
    <s v="3512 16th Street"/>
    <x v="23"/>
    <x v="3"/>
    <d v="2020-03-30T00:00:00"/>
    <x v="5"/>
    <n v="7300000"/>
    <m/>
    <m/>
    <m/>
    <m/>
    <m/>
  </r>
  <r>
    <s v="1 Mission Bay Park Retail"/>
    <x v="25"/>
    <x v="3"/>
    <d v="2020-02-20T00:00:00"/>
    <x v="5"/>
    <n v="8270000"/>
    <m/>
    <m/>
    <m/>
    <m/>
    <m/>
  </r>
  <r>
    <s v="5200 Golden Foothills, El Dorado"/>
    <x v="31"/>
    <x v="3"/>
    <d v="2020-02-20T00:00:00"/>
    <x v="5"/>
    <n v="7250000"/>
    <m/>
    <m/>
    <m/>
    <m/>
    <m/>
  </r>
  <r>
    <s v="2525 Van Ness"/>
    <x v="32"/>
    <x v="3"/>
    <d v="2020-01-20T00:00:00"/>
    <x v="5"/>
    <n v="8000000"/>
    <m/>
    <m/>
    <m/>
    <m/>
    <m/>
  </r>
  <r>
    <s v="One Mission Bay Tower"/>
    <x v="25"/>
    <x v="3"/>
    <d v="2019-11-19T00:00:00"/>
    <x v="6"/>
    <n v="8800000"/>
    <m/>
    <m/>
    <m/>
    <m/>
    <m/>
  </r>
  <r>
    <s v="1585 Folsom"/>
    <x v="7"/>
    <x v="3"/>
    <d v="2019-11-19T00:00:00"/>
    <x v="6"/>
    <n v="14500000"/>
    <m/>
    <m/>
    <m/>
    <m/>
    <m/>
  </r>
  <r>
    <s v="333 Broadway"/>
    <x v="33"/>
    <x v="3"/>
    <d v="2019-09-19T00:00:00"/>
    <x v="6"/>
    <n v="8774000"/>
    <m/>
    <m/>
    <m/>
    <m/>
    <m/>
  </r>
  <r>
    <s v="1275 Folsom"/>
    <x v="7"/>
    <x v="3"/>
    <d v="2019-08-19T00:00:00"/>
    <x v="6"/>
    <n v="3800000"/>
    <m/>
    <m/>
    <m/>
    <m/>
    <m/>
  </r>
  <r>
    <s v="1288 Howard"/>
    <x v="7"/>
    <x v="3"/>
    <d v="2019-08-19T00:00:00"/>
    <x v="6"/>
    <n v="28000000"/>
    <m/>
    <m/>
    <m/>
    <m/>
    <m/>
  </r>
  <r>
    <s v="1650 Pacific"/>
    <x v="4"/>
    <x v="3"/>
    <d v="2019-08-01T00:00:00"/>
    <x v="6"/>
    <n v="8000000"/>
    <m/>
    <m/>
    <m/>
    <m/>
    <m/>
  </r>
  <r>
    <s v="1101-1123 Sutter"/>
    <x v="4"/>
    <x v="3"/>
    <d v="2019-07-10T00:00:00"/>
    <x v="6"/>
    <n v="20000000"/>
    <m/>
    <m/>
    <m/>
    <m/>
    <m/>
  </r>
  <r>
    <s v="130 Townsend"/>
    <x v="7"/>
    <x v="3"/>
    <d v="2019-07-01T00:00:00"/>
    <x v="6"/>
    <n v="24000000"/>
    <m/>
    <m/>
    <m/>
    <m/>
    <m/>
  </r>
  <r>
    <s v="617 Bryant"/>
    <x v="7"/>
    <x v="3"/>
    <d v="2019-06-19T00:00:00"/>
    <x v="6"/>
    <n v="26000000"/>
    <m/>
    <m/>
    <m/>
    <m/>
    <m/>
  </r>
  <r>
    <s v="524 Howard"/>
    <x v="7"/>
    <x v="3"/>
    <d v="2019-05-19T00:00:00"/>
    <x v="6"/>
    <n v="78000000"/>
    <m/>
    <m/>
    <m/>
    <m/>
    <m/>
  </r>
  <r>
    <s v="356 Harriet"/>
    <x v="7"/>
    <x v="3"/>
    <d v="2019-03-08T00:00:00"/>
    <x v="6"/>
    <n v="5250000"/>
    <m/>
    <m/>
    <m/>
    <m/>
    <m/>
  </r>
  <r>
    <s v="Parcel K North"/>
    <x v="34"/>
    <x v="3"/>
    <d v="2019-02-19T00:00:00"/>
    <x v="6"/>
    <n v="24000000"/>
    <m/>
    <m/>
    <m/>
    <m/>
    <m/>
  </r>
  <r>
    <s v="355 Bryant"/>
    <x v="7"/>
    <x v="3"/>
    <d v="2019-01-09T00:00:00"/>
    <x v="6"/>
    <n v="3700000"/>
    <m/>
    <m/>
    <m/>
    <m/>
    <m/>
  </r>
  <r>
    <s v="170 Valencia"/>
    <x v="35"/>
    <x v="3"/>
    <d v="2018-12-18T00:00:00"/>
    <x v="7"/>
    <n v="9600000"/>
    <m/>
    <m/>
    <m/>
    <m/>
    <m/>
  </r>
  <r>
    <s v="1196 Columbus"/>
    <x v="36"/>
    <x v="3"/>
    <d v="2018-11-18T00:00:00"/>
    <x v="7"/>
    <n v="4500000"/>
    <m/>
    <m/>
    <m/>
    <m/>
    <m/>
  </r>
  <r>
    <s v="244 Jackson"/>
    <x v="18"/>
    <x v="3"/>
    <d v="2018-10-01T00:00:00"/>
    <x v="7"/>
    <n v="33000000"/>
    <m/>
    <m/>
    <m/>
    <m/>
    <m/>
  </r>
  <r>
    <s v="1035 Howard"/>
    <x v="7"/>
    <x v="3"/>
    <d v="2018-09-18T00:00:00"/>
    <x v="7"/>
    <n v="25300000"/>
    <m/>
    <m/>
    <m/>
    <m/>
    <m/>
  </r>
  <r>
    <s v="360 5th St."/>
    <x v="7"/>
    <x v="3"/>
    <d v="2018-08-01T00:00:00"/>
    <x v="7"/>
    <n v="27200000"/>
    <m/>
    <m/>
    <m/>
    <m/>
    <m/>
  </r>
  <r>
    <s v="36 Tehama"/>
    <x v="7"/>
    <x v="3"/>
    <d v="2018-07-18T00:00:00"/>
    <x v="7"/>
    <n v="2500000"/>
    <m/>
    <m/>
    <m/>
    <m/>
    <m/>
  </r>
  <r>
    <s v="Sheedy Site"/>
    <x v="34"/>
    <x v="3"/>
    <d v="2018-05-18T00:00:00"/>
    <x v="7"/>
    <n v="23400000"/>
    <m/>
    <m/>
    <m/>
    <m/>
    <m/>
  </r>
  <r>
    <s v="855 Bryant"/>
    <x v="7"/>
    <x v="3"/>
    <d v="2018-04-18T00:00:00"/>
    <x v="7"/>
    <n v="2950000"/>
    <m/>
    <m/>
    <m/>
    <m/>
    <m/>
  </r>
  <r>
    <s v="33-37 Main St., Tiburon (Sam's Anchor Café)"/>
    <x v="37"/>
    <x v="3"/>
    <d v="2018-02-15T00:00:00"/>
    <x v="7"/>
    <n v="11000000"/>
    <m/>
    <m/>
    <m/>
    <m/>
    <m/>
  </r>
  <r>
    <s v="1155 Mission"/>
    <x v="38"/>
    <x v="3"/>
    <d v="2018-01-31T00:00:00"/>
    <x v="7"/>
    <n v="9500000"/>
    <m/>
    <m/>
    <m/>
    <m/>
    <m/>
  </r>
  <r>
    <s v="2301 Lombard"/>
    <x v="14"/>
    <x v="3"/>
    <d v="2018-01-23T00:00:00"/>
    <x v="7"/>
    <n v="8250000"/>
    <m/>
    <m/>
    <m/>
    <m/>
    <m/>
  </r>
  <r>
    <s v="2299 Market"/>
    <x v="23"/>
    <x v="3"/>
    <d v="2018-01-01T00:00:00"/>
    <x v="7"/>
    <n v="6900000"/>
    <m/>
    <m/>
    <m/>
    <m/>
    <m/>
  </r>
  <r>
    <s v="1000 Broadway-The Wysteria"/>
    <x v="17"/>
    <x v="3"/>
    <d v="2017-11-01T00:00:00"/>
    <x v="8"/>
    <n v="8500000"/>
    <m/>
    <m/>
    <m/>
    <m/>
    <m/>
  </r>
  <r>
    <s v="The Madrone: #2"/>
    <x v="25"/>
    <x v="3"/>
    <d v="2017-10-17T00:00:00"/>
    <x v="8"/>
    <n v="1600000"/>
    <m/>
    <m/>
    <m/>
    <m/>
    <m/>
  </r>
  <r>
    <s v="290 Division"/>
    <x v="7"/>
    <x v="3"/>
    <d v="2017-10-17T00:00:00"/>
    <x v="8"/>
    <n v="13000000"/>
    <m/>
    <m/>
    <m/>
    <m/>
    <m/>
  </r>
  <r>
    <s v="1320 Washington"/>
    <x v="17"/>
    <x v="3"/>
    <d v="2017-09-17T00:00:00"/>
    <x v="8"/>
    <n v="7200000"/>
    <m/>
    <m/>
    <m/>
    <m/>
    <m/>
  </r>
  <r>
    <s v="1601 Mission"/>
    <x v="24"/>
    <x v="3"/>
    <d v="2017-07-01T00:00:00"/>
    <x v="8"/>
    <n v="37250000"/>
    <m/>
    <m/>
    <m/>
    <m/>
    <m/>
  </r>
  <r>
    <s v="950 Tennessee"/>
    <x v="34"/>
    <x v="3"/>
    <d v="2017-07-01T00:00:00"/>
    <x v="8"/>
    <n v="24999999"/>
    <m/>
    <m/>
    <m/>
    <m/>
    <m/>
  </r>
  <r>
    <s v="816 Folsom"/>
    <x v="12"/>
    <x v="3"/>
    <d v="2017-07-01T00:00:00"/>
    <x v="8"/>
    <n v="14500000"/>
    <m/>
    <m/>
    <m/>
    <m/>
    <m/>
  </r>
  <r>
    <s v="Glassworks"/>
    <x v="7"/>
    <x v="3"/>
    <d v="2017-06-17T00:00:00"/>
    <x v="8"/>
    <n v="6000000"/>
    <m/>
    <m/>
    <m/>
    <m/>
    <m/>
  </r>
  <r>
    <s v="The Madrone: 1 &amp; 3"/>
    <x v="25"/>
    <x v="3"/>
    <d v="2017-06-17T00:00:00"/>
    <x v="8"/>
    <n v="5600000"/>
    <m/>
    <m/>
    <m/>
    <m/>
    <m/>
  </r>
  <r>
    <s v="1098 Harrison"/>
    <x v="7"/>
    <x v="3"/>
    <d v="2017-05-17T00:00:00"/>
    <x v="8"/>
    <n v="25250000"/>
    <m/>
    <m/>
    <m/>
    <m/>
    <m/>
  </r>
  <r>
    <s v="1660 &amp; 1680 Mission"/>
    <x v="38"/>
    <x v="3"/>
    <d v="2017-05-17T00:00:00"/>
    <x v="8"/>
    <n v="52000000"/>
    <m/>
    <m/>
    <m/>
    <m/>
    <m/>
  </r>
  <r>
    <s v="1161 Mission"/>
    <x v="7"/>
    <x v="3"/>
    <d v="2017-04-17T00:00:00"/>
    <x v="8"/>
    <n v="42000000"/>
    <m/>
    <m/>
    <m/>
    <m/>
    <m/>
  </r>
  <r>
    <s v="2166 Chestnut"/>
    <x v="14"/>
    <x v="3"/>
    <d v="2017-02-17T00:00:00"/>
    <x v="8"/>
    <n v="8650000"/>
    <m/>
    <m/>
    <m/>
    <m/>
    <m/>
  </r>
  <r>
    <s v="525 Harrison"/>
    <x v="39"/>
    <x v="3"/>
    <d v="2017-01-01T00:00:00"/>
    <x v="8"/>
    <n v="36000000"/>
    <m/>
    <m/>
    <m/>
    <m/>
    <m/>
  </r>
  <r>
    <s v="88 Arkansas"/>
    <x v="34"/>
    <x v="3"/>
    <d v="2017-01-01T00:00:00"/>
    <x v="8"/>
    <n v="26000000"/>
    <m/>
    <m/>
    <m/>
    <m/>
    <m/>
  </r>
  <r>
    <s v="700 Eddy"/>
    <x v="8"/>
    <x v="3"/>
    <d v="2016-12-01T00:00:00"/>
    <x v="9"/>
    <n v="13800001"/>
    <m/>
    <m/>
    <m/>
    <m/>
    <m/>
  </r>
  <r>
    <s v="Potrero Power Plant 1201 Illinois"/>
    <x v="34"/>
    <x v="3"/>
    <d v="2016-09-16T00:00:00"/>
    <x v="9"/>
    <n v="86000000"/>
    <m/>
    <m/>
    <m/>
    <m/>
    <m/>
  </r>
  <r>
    <s v="220 Post"/>
    <x v="6"/>
    <x v="3"/>
    <d v="2016-09-16T00:00:00"/>
    <x v="9"/>
    <n v="73000000"/>
    <m/>
    <m/>
    <m/>
    <m/>
    <m/>
  </r>
  <r>
    <s v="1979 Mission"/>
    <x v="24"/>
    <x v="3"/>
    <d v="2016-07-01T00:00:00"/>
    <x v="9"/>
    <n v="40000000"/>
    <m/>
    <m/>
    <m/>
    <m/>
    <m/>
  </r>
  <r>
    <s v="531-535 Bryant"/>
    <x v="7"/>
    <x v="3"/>
    <d v="2016-07-01T00:00:00"/>
    <x v="9"/>
    <n v="6850000"/>
    <m/>
    <m/>
    <m/>
    <m/>
    <m/>
  </r>
  <r>
    <s v="744 Harrison"/>
    <x v="7"/>
    <x v="3"/>
    <d v="2016-06-16T00:00:00"/>
    <x v="9"/>
    <n v="3500000"/>
    <m/>
    <m/>
    <m/>
    <m/>
    <m/>
  </r>
  <r>
    <s v="901 Tennsessee"/>
    <x v="34"/>
    <x v="3"/>
    <d v="2016-03-01T00:00:00"/>
    <x v="9"/>
    <n v="8500000"/>
    <m/>
    <m/>
    <m/>
    <m/>
    <m/>
  </r>
  <r>
    <s v="1133 S. Hope, Los Angeles"/>
    <x v="40"/>
    <x v="3"/>
    <d v="2016-03-01T00:00:00"/>
    <x v="9"/>
    <n v="25500000"/>
    <m/>
    <m/>
    <m/>
    <m/>
    <m/>
  </r>
  <r>
    <s v="750 Harrison"/>
    <x v="7"/>
    <x v="3"/>
    <d v="2016-02-16T00:00:00"/>
    <x v="9"/>
    <n v="7125000"/>
    <m/>
    <m/>
    <m/>
    <m/>
    <m/>
  </r>
  <r>
    <s v="1195 65th St, Emeryville"/>
    <x v="40"/>
    <x v="3"/>
    <d v="2016-01-16T00:00:00"/>
    <x v="9"/>
    <n v="3000000"/>
    <m/>
    <m/>
    <m/>
    <m/>
    <m/>
  </r>
  <r>
    <s v="2558 Mission"/>
    <x v="24"/>
    <x v="3"/>
    <d v="2016-01-15T00:00:00"/>
    <x v="9"/>
    <n v="7595000"/>
    <m/>
    <m/>
    <m/>
    <m/>
    <m/>
  </r>
  <r>
    <s v="950 Tennessee"/>
    <x v="34"/>
    <x v="3"/>
    <d v="2015-12-01T00:00:00"/>
    <x v="10"/>
    <n v="17725000"/>
    <m/>
    <m/>
    <m/>
    <m/>
    <m/>
  </r>
  <r>
    <s v="435 Bryant Street"/>
    <x v="7"/>
    <x v="3"/>
    <d v="2015-11-15T00:00:00"/>
    <x v="10"/>
    <n v="2500000"/>
    <m/>
    <m/>
    <m/>
    <m/>
    <m/>
  </r>
  <r>
    <s v="1554 Market"/>
    <x v="38"/>
    <x v="3"/>
    <d v="2015-11-15T00:00:00"/>
    <x v="10"/>
    <n v="23000000"/>
    <m/>
    <m/>
    <m/>
    <m/>
    <m/>
  </r>
  <r>
    <s v="500 Treat Avenue"/>
    <x v="41"/>
    <x v="3"/>
    <d v="2015-11-01T00:00:00"/>
    <x v="10"/>
    <n v="16380000"/>
    <m/>
    <m/>
    <m/>
    <m/>
    <m/>
  </r>
  <r>
    <s v="149 Morris"/>
    <x v="40"/>
    <x v="3"/>
    <d v="2015-10-28T00:00:00"/>
    <x v="10"/>
    <n v="8300000"/>
    <m/>
    <m/>
    <m/>
    <m/>
    <m/>
  </r>
  <r>
    <s v="20 Haight "/>
    <x v="42"/>
    <x v="3"/>
    <d v="2015-10-26T00:00:00"/>
    <x v="10"/>
    <n v="7100000"/>
    <m/>
    <m/>
    <m/>
    <m/>
    <m/>
  </r>
  <r>
    <s v="355-369 Sutter"/>
    <x v="6"/>
    <x v="3"/>
    <d v="2015-10-15T00:00:00"/>
    <x v="10"/>
    <n v="18850000"/>
    <m/>
    <m/>
    <m/>
    <m/>
    <m/>
  </r>
  <r>
    <s v="1700 California"/>
    <x v="40"/>
    <x v="3"/>
    <d v="2015-08-15T00:00:00"/>
    <x v="10"/>
    <n v="110000000"/>
    <m/>
    <m/>
    <m/>
    <m/>
    <m/>
  </r>
  <r>
    <s v="1275 Mission "/>
    <x v="38"/>
    <x v="3"/>
    <d v="2015-08-15T00:00:00"/>
    <x v="10"/>
    <n v="3600000"/>
    <m/>
    <m/>
    <m/>
    <m/>
    <m/>
  </r>
  <r>
    <s v="100 Hooper"/>
    <x v="40"/>
    <x v="3"/>
    <d v="2015-07-15T00:00:00"/>
    <x v="10"/>
    <n v="78000000"/>
    <m/>
    <m/>
    <m/>
    <m/>
    <m/>
  </r>
  <r>
    <s v="The Bancroft Center"/>
    <x v="40"/>
    <x v="3"/>
    <d v="2015-07-15T00:00:00"/>
    <x v="10"/>
    <n v="18500000"/>
    <m/>
    <m/>
    <m/>
    <m/>
    <m/>
  </r>
  <r>
    <s v="140 Maiden Lane"/>
    <x v="6"/>
    <x v="3"/>
    <d v="2015-06-15T00:00:00"/>
    <x v="10"/>
    <n v="10600000"/>
    <m/>
    <m/>
    <m/>
    <m/>
    <m/>
  </r>
  <r>
    <s v="6440 Shellmound, Emeryville"/>
    <x v="40"/>
    <x v="3"/>
    <d v="2015-06-15T00:00:00"/>
    <x v="10"/>
    <n v="3900000"/>
    <m/>
    <m/>
    <m/>
    <m/>
    <m/>
  </r>
  <r>
    <s v="490 Brannan Street"/>
    <x v="7"/>
    <x v="3"/>
    <d v="2015-05-15T00:00:00"/>
    <x v="10"/>
    <n v="50000000"/>
    <m/>
    <m/>
    <m/>
    <m/>
    <m/>
  </r>
  <r>
    <s v="436 Bryant Street"/>
    <x v="40"/>
    <x v="3"/>
    <d v="2015-05-15T00:00:00"/>
    <x v="10"/>
    <n v="3850000"/>
    <m/>
    <m/>
    <m/>
    <m/>
    <m/>
  </r>
  <r>
    <s v="555 Howard Street"/>
    <x v="7"/>
    <x v="3"/>
    <d v="2015-04-01T00:00:00"/>
    <x v="10"/>
    <n v="27000000"/>
    <m/>
    <m/>
    <m/>
    <m/>
    <m/>
  </r>
  <r>
    <s v="99 Rausch/1140 Folsom"/>
    <x v="40"/>
    <x v="3"/>
    <d v="2015-04-01T00:00:00"/>
    <x v="10"/>
    <n v="33800000"/>
    <m/>
    <m/>
    <m/>
    <m/>
    <m/>
  </r>
  <r>
    <s v="733 Front Street"/>
    <x v="40"/>
    <x v="3"/>
    <d v="2015-03-01T00:00:00"/>
    <x v="10"/>
    <n v="4025000"/>
    <m/>
    <m/>
    <m/>
    <m/>
    <m/>
  </r>
  <r>
    <s v="755 Sansome"/>
    <x v="43"/>
    <x v="3"/>
    <d v="2015-02-15T00:00:00"/>
    <x v="10"/>
    <n v="29450000"/>
    <m/>
    <m/>
    <m/>
    <m/>
    <m/>
  </r>
  <r>
    <s v="325 Fremont"/>
    <x v="7"/>
    <x v="3"/>
    <d v="2015-02-15T00:00:00"/>
    <x v="10"/>
    <n v="28500000"/>
    <m/>
    <m/>
    <m/>
    <m/>
    <m/>
  </r>
  <r>
    <s v="119 7th Street"/>
    <x v="38"/>
    <x v="3"/>
    <d v="2015-01-23T00:00:00"/>
    <x v="10"/>
    <n v="7321688"/>
    <m/>
    <m/>
    <m/>
    <m/>
    <m/>
  </r>
  <r>
    <s v="690 Market"/>
    <x v="6"/>
    <x v="3"/>
    <d v="2015-01-01T00:00:00"/>
    <x v="10"/>
    <n v="13600000"/>
    <m/>
    <m/>
    <m/>
    <m/>
    <m/>
  </r>
  <r>
    <s v="1196 Columbus"/>
    <x v="40"/>
    <x v="3"/>
    <d v="2014-12-14T00:00:00"/>
    <x v="11"/>
    <n v="4800000"/>
    <m/>
    <m/>
    <m/>
    <m/>
    <m/>
  </r>
  <r>
    <s v="34 Mason"/>
    <x v="6"/>
    <x v="3"/>
    <d v="2014-12-01T00:00:00"/>
    <x v="11"/>
    <n v="6070000"/>
    <m/>
    <m/>
    <m/>
    <m/>
    <m/>
  </r>
  <r>
    <s v="Mission Bay Block 1"/>
    <x v="25"/>
    <x v="3"/>
    <d v="2014-11-14T00:00:00"/>
    <x v="11"/>
    <n v="70000000"/>
    <m/>
    <m/>
    <m/>
    <m/>
    <m/>
  </r>
  <r>
    <s v="1550 Mission: Goodwill Site"/>
    <x v="44"/>
    <x v="3"/>
    <d v="2014-10-14T00:00:00"/>
    <x v="11"/>
    <n v="65000000"/>
    <m/>
    <m/>
    <m/>
    <m/>
    <m/>
  </r>
  <r>
    <s v="33 Falmouth"/>
    <x v="40"/>
    <x v="3"/>
    <d v="2014-09-14T00:00:00"/>
    <x v="11"/>
    <n v="2601001"/>
    <m/>
    <m/>
    <m/>
    <m/>
    <m/>
  </r>
  <r>
    <s v="41 Tehama"/>
    <x v="39"/>
    <x v="3"/>
    <d v="2014-08-14T00:00:00"/>
    <x v="11"/>
    <n v="50000000"/>
    <m/>
    <m/>
    <m/>
    <m/>
    <m/>
  </r>
  <r>
    <s v="69 Maiden Lane"/>
    <x v="6"/>
    <x v="3"/>
    <d v="2014-08-01T00:00:00"/>
    <x v="11"/>
    <n v="4315000"/>
    <m/>
    <m/>
    <m/>
    <m/>
    <m/>
  </r>
  <r>
    <s v="555 Sutter Street"/>
    <x v="40"/>
    <x v="3"/>
    <d v="2014-08-01T00:00:00"/>
    <x v="11"/>
    <n v="7350000"/>
    <m/>
    <m/>
    <m/>
    <m/>
    <m/>
  </r>
  <r>
    <s v="Alexandria Theatre 5400 Geary"/>
    <x v="45"/>
    <x v="3"/>
    <d v="2014-06-14T00:00:00"/>
    <x v="11"/>
    <n v="10600000"/>
    <m/>
    <m/>
    <m/>
    <m/>
    <m/>
  </r>
  <r>
    <s v="1 Daniel Burnham Court"/>
    <x v="8"/>
    <x v="3"/>
    <d v="2014-04-14T00:00:00"/>
    <x v="11"/>
    <n v="41050000"/>
    <m/>
    <m/>
    <m/>
    <m/>
    <m/>
  </r>
  <r>
    <s v="1001 Canal Blvd, Richmond"/>
    <x v="40"/>
    <x v="3"/>
    <d v="2014-03-14T00:00:00"/>
    <x v="11"/>
    <n v="6750000"/>
    <m/>
    <m/>
    <m/>
    <m/>
    <m/>
  </r>
  <r>
    <s v="1550 Bryant Street, The Hamm's Building"/>
    <x v="46"/>
    <x v="3"/>
    <d v="2014-03-14T00:00:00"/>
    <x v="11"/>
    <n v="85000000"/>
    <m/>
    <m/>
    <m/>
    <m/>
    <m/>
  </r>
  <r>
    <s v="211 Sutter Street"/>
    <x v="6"/>
    <x v="3"/>
    <d v="2014-01-14T00:00:00"/>
    <x v="11"/>
    <n v="19000000"/>
    <m/>
    <m/>
    <m/>
    <m/>
    <m/>
  </r>
  <r>
    <s v="33 Powell"/>
    <x v="6"/>
    <x v="3"/>
    <d v="2014-01-14T00:00:00"/>
    <x v="11"/>
    <n v="75000000"/>
    <m/>
    <m/>
    <m/>
    <m/>
    <m/>
  </r>
  <r>
    <s v="25 Executive Court, Napa"/>
    <x v="40"/>
    <x v="3"/>
    <d v="2013-12-01T00:00:00"/>
    <x v="12"/>
    <n v="4850000"/>
    <m/>
    <m/>
    <m/>
    <m/>
    <m/>
  </r>
  <r>
    <s v="140 South Van Ness"/>
    <x v="40"/>
    <x v="3"/>
    <d v="2013-12-01T00:00:00"/>
    <x v="12"/>
    <n v="8475000"/>
    <m/>
    <m/>
    <m/>
    <m/>
    <m/>
  </r>
  <r>
    <s v="801 State Access Rd., Novato"/>
    <x v="40"/>
    <x v="3"/>
    <d v="2013-09-01T00:00:00"/>
    <x v="12"/>
    <n v="1800000"/>
    <m/>
    <m/>
    <m/>
    <m/>
    <m/>
  </r>
  <r>
    <s v="1098 Harrison St"/>
    <x v="40"/>
    <x v="3"/>
    <d v="2013-08-13T00:00:00"/>
    <x v="12"/>
    <n v="11000000"/>
    <m/>
    <m/>
    <m/>
    <m/>
    <m/>
  </r>
  <r>
    <s v="143 2nd Street"/>
    <x v="7"/>
    <x v="3"/>
    <d v="2013-06-01T00:00:00"/>
    <x v="12"/>
    <n v="7845000"/>
    <m/>
    <m/>
    <m/>
    <m/>
    <m/>
  </r>
  <r>
    <s v="1390 Market Fox Plaza"/>
    <x v="38"/>
    <x v="3"/>
    <d v="2013-02-13T00:00:00"/>
    <x v="12"/>
    <n v="140250000"/>
    <m/>
    <m/>
    <m/>
    <m/>
    <m/>
  </r>
  <r>
    <s v="2198 Market St."/>
    <x v="47"/>
    <x v="3"/>
    <d v="2013-02-13T00:00:00"/>
    <x v="12"/>
    <n v="8000000"/>
    <m/>
    <m/>
    <m/>
    <m/>
    <m/>
  </r>
  <r>
    <s v="747 Front Street"/>
    <x v="40"/>
    <x v="3"/>
    <d v="2012-12-12T00:00:00"/>
    <x v="13"/>
    <n v="23100000"/>
    <m/>
    <m/>
    <m/>
    <m/>
    <m/>
  </r>
  <r>
    <s v="710 Sansome"/>
    <x v="40"/>
    <x v="3"/>
    <d v="2012-12-12T00:00:00"/>
    <x v="13"/>
    <n v="6300000"/>
    <m/>
    <m/>
    <m/>
    <m/>
    <m/>
  </r>
  <r>
    <s v="1335 Sutter"/>
    <x v="8"/>
    <x v="3"/>
    <d v="2012-12-01T00:00:00"/>
    <x v="13"/>
    <n v="2850000"/>
    <m/>
    <m/>
    <m/>
    <m/>
    <m/>
  </r>
  <r>
    <s v="901 Battery Street"/>
    <x v="40"/>
    <x v="3"/>
    <d v="2012-12-01T00:00:00"/>
    <x v="13"/>
    <n v="23450000"/>
    <m/>
    <m/>
    <m/>
    <m/>
    <m/>
  </r>
  <r>
    <s v="1415 Mission Street"/>
    <x v="40"/>
    <x v="3"/>
    <d v="2012-12-01T00:00:00"/>
    <x v="13"/>
    <n v="8000000"/>
    <m/>
    <m/>
    <m/>
    <m/>
    <m/>
  </r>
  <r>
    <s v="1 Franklin Street"/>
    <x v="40"/>
    <x v="3"/>
    <d v="2012-12-01T00:00:00"/>
    <x v="13"/>
    <n v="4250000"/>
    <m/>
    <m/>
    <m/>
    <m/>
    <m/>
  </r>
  <r>
    <s v="1409 Sutter"/>
    <x v="40"/>
    <x v="3"/>
    <d v="2012-11-12T00:00:00"/>
    <x v="13"/>
    <n v="6660000"/>
    <m/>
    <m/>
    <m/>
    <m/>
    <m/>
  </r>
  <r>
    <s v="110 The Embarcadero"/>
    <x v="40"/>
    <x v="3"/>
    <d v="2012-10-12T00:00:00"/>
    <x v="13"/>
    <n v="5475000"/>
    <m/>
    <m/>
    <m/>
    <m/>
    <m/>
  </r>
  <r>
    <s v="660 Market"/>
    <x v="6"/>
    <x v="3"/>
    <d v="2012-08-12T00:00:00"/>
    <x v="13"/>
    <n v="24100000"/>
    <m/>
    <m/>
    <m/>
    <m/>
    <m/>
  </r>
  <r>
    <s v="1161 Mission"/>
    <x v="40"/>
    <x v="3"/>
    <d v="2012-08-12T00:00:00"/>
    <x v="13"/>
    <n v="19350000"/>
    <m/>
    <m/>
    <m/>
    <m/>
    <m/>
  </r>
  <r>
    <s v="815 Eddy St."/>
    <x v="40"/>
    <x v="3"/>
    <d v="2012-07-12T00:00:00"/>
    <x v="13"/>
    <n v="3999899"/>
    <m/>
    <m/>
    <m/>
    <m/>
    <m/>
  </r>
  <r>
    <s v="524 Howard"/>
    <x v="40"/>
    <x v="3"/>
    <d v="2012-06-01T00:00:00"/>
    <x v="13"/>
    <n v="15850000"/>
    <m/>
    <m/>
    <m/>
    <m/>
    <m/>
  </r>
  <r>
    <s v="731 Market"/>
    <x v="6"/>
    <x v="3"/>
    <d v="2012-05-12T00:00:00"/>
    <x v="13"/>
    <n v="30000000"/>
    <m/>
    <m/>
    <m/>
    <m/>
    <m/>
  </r>
  <r>
    <s v="72 Townsend "/>
    <x v="7"/>
    <x v="3"/>
    <d v="2012-05-12T00:00:00"/>
    <x v="13"/>
    <n v="11800000"/>
    <m/>
    <m/>
    <m/>
    <m/>
    <m/>
  </r>
  <r>
    <s v="840 Brannan "/>
    <x v="40"/>
    <x v="3"/>
    <d v="2012-04-12T00:00:00"/>
    <x v="13"/>
    <n v="16225000"/>
    <m/>
    <m/>
    <m/>
    <m/>
    <m/>
  </r>
  <r>
    <s v="558 Sacramento"/>
    <x v="43"/>
    <x v="3"/>
    <d v="2012-03-12T00:00:00"/>
    <x v="13"/>
    <n v="6150000"/>
    <m/>
    <m/>
    <m/>
    <m/>
    <m/>
  </r>
  <r>
    <s v="717 Market St."/>
    <x v="6"/>
    <x v="3"/>
    <d v="2012-02-01T00:00:00"/>
    <x v="13"/>
    <n v="32000000"/>
    <m/>
    <m/>
    <m/>
    <m/>
    <m/>
  </r>
  <r>
    <s v="Museum Parc Garage, 300 3rd St."/>
    <x v="40"/>
    <x v="3"/>
    <d v="2012-02-01T00:00:00"/>
    <x v="13"/>
    <n v="12750000"/>
    <m/>
    <m/>
    <m/>
    <m/>
    <m/>
  </r>
  <r>
    <s v="143 2nd St."/>
    <x v="7"/>
    <x v="3"/>
    <d v="2012-01-01T00:00:00"/>
    <x v="13"/>
    <n v="4750000"/>
    <m/>
    <m/>
    <m/>
    <m/>
    <m/>
  </r>
  <r>
    <s v="Potrero Launch 2235 3rd St."/>
    <x v="25"/>
    <x v="3"/>
    <d v="2011-12-11T00:00:00"/>
    <x v="14"/>
    <n v="93000000"/>
    <m/>
    <m/>
    <m/>
    <m/>
    <m/>
  </r>
  <r>
    <s v="3135 24th St."/>
    <x v="40"/>
    <x v="3"/>
    <d v="2011-12-11T00:00:00"/>
    <x v="14"/>
    <n v="1700000"/>
    <m/>
    <m/>
    <m/>
    <m/>
    <m/>
  </r>
  <r>
    <s v="301 Brannan"/>
    <x v="40"/>
    <x v="3"/>
    <d v="2011-11-11T00:00:00"/>
    <x v="14"/>
    <n v="30000000"/>
    <m/>
    <m/>
    <m/>
    <m/>
    <m/>
  </r>
  <r>
    <s v="1000 16th St.: Daggett Place"/>
    <x v="40"/>
    <x v="3"/>
    <d v="2011-08-01T00:00:00"/>
    <x v="14"/>
    <n v="36100000"/>
    <m/>
    <m/>
    <m/>
    <m/>
    <m/>
  </r>
  <r>
    <s v="753-777 Davis St."/>
    <x v="40"/>
    <x v="3"/>
    <d v="2011-07-11T00:00:00"/>
    <x v="14"/>
    <n v="8750000"/>
    <m/>
    <m/>
    <m/>
    <m/>
    <m/>
  </r>
  <r>
    <s v="880 Harrison St."/>
    <x v="40"/>
    <x v="3"/>
    <d v="2011-06-11T00:00:00"/>
    <x v="14"/>
    <n v="4000000"/>
    <m/>
    <m/>
    <m/>
    <m/>
    <m/>
  </r>
  <r>
    <s v="115 Sansome"/>
    <x v="43"/>
    <x v="3"/>
    <d v="2011-06-01T00:00:00"/>
    <x v="14"/>
    <n v="26600000"/>
    <m/>
    <m/>
    <m/>
    <m/>
    <m/>
  </r>
  <r>
    <s v="Redwood Business Park, Petaluma"/>
    <x v="40"/>
    <x v="3"/>
    <d v="2011-06-01T00:00:00"/>
    <x v="14"/>
    <n v="5092000"/>
    <m/>
    <m/>
    <m/>
    <m/>
    <m/>
  </r>
  <r>
    <s v="1368 Lincoln Ave., San Rafael"/>
    <x v="40"/>
    <x v="3"/>
    <d v="2011-06-01T00:00:00"/>
    <x v="14"/>
    <n v="1150000"/>
    <m/>
    <m/>
    <m/>
    <m/>
    <m/>
  </r>
  <r>
    <s v="500 Terry Francois"/>
    <x v="25"/>
    <x v="3"/>
    <d v="2011-03-11T00:00:00"/>
    <x v="14"/>
    <n v="95050000"/>
    <m/>
    <m/>
    <m/>
    <m/>
    <m/>
  </r>
  <r>
    <s v="250 Brannan"/>
    <x v="7"/>
    <x v="3"/>
    <d v="2011-01-21T00:00:00"/>
    <x v="14"/>
    <n v="33000000"/>
    <m/>
    <m/>
    <m/>
    <m/>
    <m/>
  </r>
  <r>
    <s v="300 Main St., The Infinity"/>
    <x v="39"/>
    <x v="3"/>
    <d v="2010-12-10T00:00:00"/>
    <x v="15"/>
    <n v="1050000"/>
    <m/>
    <m/>
    <m/>
    <m/>
    <m/>
  </r>
  <r>
    <s v="301 Folsom C2"/>
    <x v="40"/>
    <x v="3"/>
    <d v="2010-12-10T00:00:00"/>
    <x v="15"/>
    <n v="668000"/>
    <m/>
    <m/>
    <m/>
    <m/>
    <m/>
  </r>
  <r>
    <s v="1285 Sutter"/>
    <x v="40"/>
    <x v="3"/>
    <d v="2010-11-10T00:00:00"/>
    <x v="15"/>
    <n v="9150000"/>
    <m/>
    <m/>
    <m/>
    <m/>
    <m/>
  </r>
  <r>
    <s v="301 Folsom C1"/>
    <x v="40"/>
    <x v="3"/>
    <d v="2010-11-10T00:00:00"/>
    <x v="15"/>
    <n v="2660500"/>
    <m/>
    <m/>
    <m/>
    <m/>
    <m/>
  </r>
  <r>
    <s v="208 Utah"/>
    <x v="40"/>
    <x v="3"/>
    <d v="2010-09-10T00:00:00"/>
    <x v="15"/>
    <n v="8300000"/>
    <m/>
    <m/>
    <m/>
    <m/>
    <m/>
  </r>
  <r>
    <s v="45 Lansing"/>
    <x v="39"/>
    <x v="3"/>
    <d v="2010-08-10T00:00:00"/>
    <x v="15"/>
    <n v="12450000"/>
    <m/>
    <m/>
    <m/>
    <m/>
    <m/>
  </r>
  <r>
    <s v="170 Columbus Ave."/>
    <x v="40"/>
    <x v="3"/>
    <d v="2010-07-10T00:00:00"/>
    <x v="15"/>
    <n v="12150000"/>
    <m/>
    <m/>
    <m/>
    <m/>
    <m/>
  </r>
  <r>
    <s v="1455 N. McDowell, Petaluma"/>
    <x v="40"/>
    <x v="3"/>
    <d v="2010-07-10T00:00:00"/>
    <x v="15"/>
    <n v="3627000"/>
    <m/>
    <m/>
    <m/>
    <m/>
    <m/>
  </r>
  <r>
    <s v="500 Terry Francois"/>
    <x v="25"/>
    <x v="3"/>
    <d v="2010-04-01T00:00:00"/>
    <x v="15"/>
    <n v="52500000"/>
    <m/>
    <m/>
    <m/>
    <m/>
    <m/>
  </r>
  <r>
    <s v="300 Funston"/>
    <x v="40"/>
    <x v="3"/>
    <d v="2009-09-09T00:00:00"/>
    <x v="16"/>
    <n v="4500000"/>
    <m/>
    <m/>
    <m/>
    <m/>
    <m/>
  </r>
  <r>
    <s v="345 Folsom"/>
    <x v="40"/>
    <x v="3"/>
    <d v="2009-05-08T00:00:00"/>
    <x v="16"/>
    <n v="975000"/>
    <m/>
    <m/>
    <m/>
    <m/>
    <m/>
  </r>
  <r>
    <s v="400 Castro"/>
    <x v="23"/>
    <x v="3"/>
    <d v="2008-10-31T00:00:00"/>
    <x v="17"/>
    <n v="7300000"/>
    <m/>
    <m/>
    <m/>
    <m/>
    <m/>
  </r>
  <r>
    <s v="755 Sansome"/>
    <x v="43"/>
    <x v="3"/>
    <d v="2008-04-08T00:00:00"/>
    <x v="17"/>
    <n v="18000000"/>
    <m/>
    <m/>
    <m/>
    <m/>
    <m/>
  </r>
  <r>
    <s v="1095 Market Street"/>
    <x v="40"/>
    <x v="3"/>
    <d v="2008-04-08T00:00:00"/>
    <x v="17"/>
    <n v="9000000"/>
    <m/>
    <m/>
    <m/>
    <m/>
    <m/>
  </r>
  <r>
    <s v="475 6th Street"/>
    <x v="40"/>
    <x v="3"/>
    <d v="2008-03-07T00:00:00"/>
    <x v="17"/>
    <n v="2400000"/>
    <m/>
    <m/>
    <m/>
    <m/>
    <m/>
  </r>
  <r>
    <s v="1799 Union"/>
    <x v="40"/>
    <x v="3"/>
    <d v="2008-02-08T00:00:00"/>
    <x v="17"/>
    <n v="6875000"/>
    <m/>
    <m/>
    <m/>
    <m/>
    <m/>
  </r>
  <r>
    <s v="274 Brannan"/>
    <x v="7"/>
    <x v="3"/>
    <d v="2007-12-20T00:00:00"/>
    <x v="18"/>
    <n v="51000000"/>
    <m/>
    <m/>
    <m/>
    <m/>
    <m/>
  </r>
  <r>
    <s v="1944 Union"/>
    <x v="40"/>
    <x v="3"/>
    <d v="2007-11-07T00:00:00"/>
    <x v="18"/>
    <n v="3800000"/>
    <m/>
    <m/>
    <m/>
    <m/>
    <m/>
  </r>
  <r>
    <s v="208 Utah"/>
    <x v="40"/>
    <x v="3"/>
    <d v="2007-12-20T00:00:00"/>
    <x v="18"/>
    <n v="16500000"/>
    <m/>
    <m/>
    <m/>
    <m/>
    <m/>
  </r>
  <r>
    <s v="735 Battery"/>
    <x v="40"/>
    <x v="3"/>
    <d v="2007-09-07T00:00:00"/>
    <x v="18"/>
    <n v="23000000"/>
    <m/>
    <m/>
    <m/>
    <m/>
    <m/>
  </r>
  <r>
    <s v="1723 Union"/>
    <x v="40"/>
    <x v="3"/>
    <d v="2007-09-07T00:00:00"/>
    <x v="18"/>
    <n v="7225000"/>
    <m/>
    <m/>
    <m/>
    <m/>
    <m/>
  </r>
  <r>
    <s v="1799 Union"/>
    <x v="40"/>
    <x v="3"/>
    <d v="2007-09-07T00:00:00"/>
    <x v="18"/>
    <n v="7100000"/>
    <m/>
    <m/>
    <m/>
    <m/>
    <m/>
  </r>
  <r>
    <s v="733 Front Street"/>
    <x v="40"/>
    <x v="3"/>
    <d v="2007-09-07T00:00:00"/>
    <x v="18"/>
    <n v="23000000"/>
    <m/>
    <m/>
    <m/>
    <m/>
    <m/>
  </r>
  <r>
    <s v="660 Market"/>
    <x v="6"/>
    <x v="3"/>
    <d v="2007-08-07T00:00:00"/>
    <x v="18"/>
    <n v="18875000"/>
    <m/>
    <m/>
    <m/>
    <m/>
    <m/>
  </r>
  <r>
    <s v="250 Brannan"/>
    <x v="40"/>
    <x v="3"/>
    <d v="2007-05-07T00:00:00"/>
    <x v="18"/>
    <n v="31288527"/>
    <m/>
    <m/>
    <m/>
    <m/>
    <m/>
  </r>
  <r>
    <s v="181 Fremont"/>
    <x v="40"/>
    <x v="3"/>
    <d v="2007-04-03T00:00:00"/>
    <x v="18"/>
    <n v="23500000"/>
    <m/>
    <m/>
    <m/>
    <m/>
    <m/>
  </r>
  <r>
    <s v="921 Front"/>
    <x v="18"/>
    <x v="3"/>
    <d v="2007-04-03T00:00:00"/>
    <x v="18"/>
    <n v="7000000"/>
    <m/>
    <m/>
    <m/>
    <m/>
    <m/>
  </r>
  <r>
    <s v="20 California "/>
    <x v="43"/>
    <x v="3"/>
    <d v="2007-03-07T00:00:00"/>
    <x v="18"/>
    <n v="16985000"/>
    <m/>
    <m/>
    <m/>
    <m/>
    <m/>
  </r>
  <r>
    <s v="1440 Harrison"/>
    <x v="40"/>
    <x v="3"/>
    <d v="2007-03-07T00:00:00"/>
    <x v="18"/>
    <n v="3200000"/>
    <m/>
    <m/>
    <m/>
    <m/>
    <m/>
  </r>
  <r>
    <s v="717 Market St."/>
    <x v="6"/>
    <x v="3"/>
    <d v="2006-12-06T00:00:00"/>
    <x v="19"/>
    <n v="18100000"/>
    <m/>
    <m/>
    <m/>
    <m/>
    <m/>
  </r>
  <r>
    <s v="1 Grant"/>
    <x v="6"/>
    <x v="3"/>
    <d v="2006-11-06T00:00:00"/>
    <x v="19"/>
    <n v="13000000"/>
    <m/>
    <m/>
    <m/>
    <m/>
    <m/>
  </r>
  <r>
    <s v="410 Townsend"/>
    <x v="40"/>
    <x v="3"/>
    <d v="2006-11-06T00:00:00"/>
    <x v="19"/>
    <n v="16800000"/>
    <m/>
    <m/>
    <m/>
    <m/>
    <m/>
  </r>
  <r>
    <s v="1161 Mission"/>
    <x v="40"/>
    <x v="3"/>
    <d v="2006-11-06T00:00:00"/>
    <x v="19"/>
    <n v="7500000"/>
    <m/>
    <m/>
    <m/>
    <m/>
    <m/>
  </r>
  <r>
    <s v="39-41 Grant"/>
    <x v="6"/>
    <x v="3"/>
    <d v="2006-09-06T00:00:00"/>
    <x v="19"/>
    <n v="7387500"/>
    <m/>
    <m/>
    <m/>
    <m/>
    <m/>
  </r>
  <r>
    <s v="115 Sansome"/>
    <x v="43"/>
    <x v="3"/>
    <d v="2006-09-06T00:00:00"/>
    <x v="19"/>
    <n v="32100000"/>
    <m/>
    <m/>
    <m/>
    <m/>
    <m/>
  </r>
  <r>
    <s v="800 Market"/>
    <x v="6"/>
    <x v="3"/>
    <d v="2006-09-01T00:00:00"/>
    <x v="19"/>
    <n v="22760000"/>
    <m/>
    <m/>
    <m/>
    <m/>
    <m/>
  </r>
  <r>
    <s v="45 Lansing"/>
    <x v="39"/>
    <x v="3"/>
    <d v="2006-07-06T00:00:00"/>
    <x v="19"/>
    <n v="30500000"/>
    <m/>
    <m/>
    <m/>
    <m/>
    <m/>
  </r>
  <r>
    <s v="Walgreens Modesto"/>
    <x v="40"/>
    <x v="3"/>
    <d v="2006-06-06T00:00:00"/>
    <x v="19"/>
    <n v="5780000"/>
    <m/>
    <m/>
    <m/>
    <m/>
    <m/>
  </r>
  <r>
    <s v="110 The Embarcadero"/>
    <x v="40"/>
    <x v="3"/>
    <d v="2006-06-06T00:00:00"/>
    <x v="19"/>
    <n v="5500000"/>
    <m/>
    <m/>
    <m/>
    <m/>
    <m/>
  </r>
  <r>
    <s v="832-840 Sutter Street"/>
    <x v="40"/>
    <x v="3"/>
    <d v="2006-06-06T00:00:00"/>
    <x v="19"/>
    <n v="4500000"/>
    <m/>
    <m/>
    <m/>
    <m/>
    <m/>
  </r>
  <r>
    <s v="200 Powell"/>
    <x v="6"/>
    <x v="3"/>
    <d v="2006-05-06T00:00:00"/>
    <x v="19"/>
    <n v="12600000"/>
    <m/>
    <m/>
    <m/>
    <m/>
    <m/>
  </r>
  <r>
    <s v="50 1st"/>
    <x v="40"/>
    <x v="3"/>
    <d v="2006-05-06T00:00:00"/>
    <x v="19"/>
    <n v="26000000"/>
    <m/>
    <m/>
    <m/>
    <m/>
    <m/>
  </r>
  <r>
    <s v="250 Brannan"/>
    <x v="7"/>
    <x v="3"/>
    <d v="2006-05-06T00:00:00"/>
    <x v="19"/>
    <n v="20000000"/>
    <m/>
    <m/>
    <m/>
    <m/>
    <m/>
  </r>
  <r>
    <s v="535 Mission Street"/>
    <x v="7"/>
    <x v="3"/>
    <d v="2006-04-06T00:00:00"/>
    <x v="19"/>
    <n v="32500000"/>
    <m/>
    <m/>
    <m/>
    <m/>
    <m/>
  </r>
  <r>
    <s v="630 Third Street"/>
    <x v="40"/>
    <x v="3"/>
    <d v="2006-03-30T00:00:00"/>
    <x v="19"/>
    <n v="9250000"/>
    <m/>
    <m/>
    <m/>
    <m/>
    <m/>
  </r>
  <r>
    <s v="299 Valencia"/>
    <x v="46"/>
    <x v="3"/>
    <d v="2006-01-01T00:00:00"/>
    <x v="19"/>
    <n v="3950000"/>
    <m/>
    <m/>
    <m/>
    <m/>
    <m/>
  </r>
  <r>
    <s v="Washington/Hotaling"/>
    <x v="33"/>
    <x v="3"/>
    <d v="2005-12-01T00:00:00"/>
    <x v="20"/>
    <n v="11500000"/>
    <m/>
    <m/>
    <m/>
    <m/>
    <m/>
  </r>
  <r>
    <s v="Rite Aid, Hercules"/>
    <x v="40"/>
    <x v="3"/>
    <d v="2008-02-06T00:00:00"/>
    <x v="17"/>
    <n v="6825000"/>
    <m/>
    <m/>
    <m/>
    <m/>
    <m/>
  </r>
  <r>
    <s v="300 Broadway"/>
    <x v="40"/>
    <x v="3"/>
    <d v="2005-12-01T00:00:00"/>
    <x v="20"/>
    <n v="8000000"/>
    <m/>
    <m/>
    <m/>
    <m/>
    <m/>
  </r>
  <r>
    <s v="1401 3rd Street"/>
    <x v="40"/>
    <x v="3"/>
    <d v="2005-11-15T00:00:00"/>
    <x v="20"/>
    <n v="3800000"/>
    <m/>
    <m/>
    <m/>
    <m/>
    <m/>
  </r>
  <r>
    <s v="26 O'Farrell Street"/>
    <x v="6"/>
    <x v="3"/>
    <d v="2005-11-01T00:00:00"/>
    <x v="20"/>
    <n v="9150000"/>
    <m/>
    <m/>
    <m/>
    <m/>
    <m/>
  </r>
  <r>
    <s v="Costello - Market"/>
    <x v="40"/>
    <x v="3"/>
    <d v="2005-11-01T00:00:00"/>
    <x v="20"/>
    <n v="1675000"/>
    <m/>
    <m/>
    <m/>
    <m/>
    <m/>
  </r>
  <r>
    <s v="25 Kearny Street"/>
    <x v="40"/>
    <x v="3"/>
    <d v="2005-10-01T00:00:00"/>
    <x v="20"/>
    <n v="11516700"/>
    <m/>
    <m/>
    <m/>
    <m/>
    <m/>
  </r>
  <r>
    <s v="233 Post Street"/>
    <x v="6"/>
    <x v="3"/>
    <d v="2005-08-31T00:00:00"/>
    <x v="20"/>
    <n v="13250000"/>
    <m/>
    <m/>
    <m/>
    <m/>
    <m/>
  </r>
  <r>
    <s v="134 Maiden Lane"/>
    <x v="6"/>
    <x v="3"/>
    <d v="2005-08-31T00:00:00"/>
    <x v="20"/>
    <n v="3650000"/>
    <m/>
    <m/>
    <m/>
    <m/>
    <m/>
  </r>
  <r>
    <s v="301/345 Brannan Street"/>
    <x v="7"/>
    <x v="3"/>
    <d v="2005-08-31T00:00:00"/>
    <x v="20"/>
    <n v="22500000"/>
    <m/>
    <m/>
    <m/>
    <m/>
    <m/>
  </r>
  <r>
    <s v="139 Townsend Street"/>
    <x v="7"/>
    <x v="3"/>
    <d v="2005-08-31T00:00:00"/>
    <x v="20"/>
    <n v="15000000"/>
    <m/>
    <m/>
    <m/>
    <m/>
    <m/>
  </r>
  <r>
    <s v="166 Grant Avenue"/>
    <x v="6"/>
    <x v="3"/>
    <d v="2005-08-15T00:00:00"/>
    <x v="20"/>
    <n v="10500000"/>
    <m/>
    <m/>
    <m/>
    <m/>
    <m/>
  </r>
  <r>
    <s v="500 Treat Avenue"/>
    <x v="40"/>
    <x v="3"/>
    <d v="2005-07-31T00:00:00"/>
    <x v="20"/>
    <n v="7700000"/>
    <m/>
    <m/>
    <m/>
    <m/>
    <m/>
  </r>
  <r>
    <s v="350 Sansome Street"/>
    <x v="43"/>
    <x v="3"/>
    <d v="2005-05-15T00:00:00"/>
    <x v="20"/>
    <n v="23100000"/>
    <m/>
    <m/>
    <m/>
    <m/>
    <m/>
  </r>
  <r>
    <s v="949 Market Street"/>
    <x v="38"/>
    <x v="3"/>
    <d v="2005-05-15T00:00:00"/>
    <x v="20"/>
    <n v="13000000"/>
    <m/>
    <m/>
    <m/>
    <m/>
    <m/>
  </r>
  <r>
    <s v="500 Montgomery"/>
    <x v="43"/>
    <x v="3"/>
    <d v="2005-05-15T00:00:00"/>
    <x v="20"/>
    <n v="6500000"/>
    <m/>
    <m/>
    <m/>
    <m/>
    <m/>
  </r>
  <r>
    <s v="520 Montgomery"/>
    <x v="43"/>
    <x v="3"/>
    <d v="2005-05-15T00:00:00"/>
    <x v="20"/>
    <n v="2000000"/>
    <m/>
    <m/>
    <m/>
    <m/>
    <m/>
  </r>
  <r>
    <s v="966 Market Street"/>
    <x v="38"/>
    <x v="3"/>
    <d v="2005-04-15T00:00:00"/>
    <x v="20"/>
    <n v="3800000"/>
    <m/>
    <m/>
    <m/>
    <m/>
    <m/>
  </r>
  <r>
    <s v="972 Market Street"/>
    <x v="38"/>
    <x v="3"/>
    <d v="2005-03-31T00:00:00"/>
    <x v="20"/>
    <n v="5900000"/>
    <m/>
    <m/>
    <m/>
    <m/>
    <m/>
  </r>
  <r>
    <s v="Walgreens, Palo Alto"/>
    <x v="40"/>
    <x v="3"/>
    <d v="2005-03-15T00:00:00"/>
    <x v="20"/>
    <n v="9700000"/>
    <m/>
    <m/>
    <m/>
    <m/>
    <m/>
  </r>
  <r>
    <s v="Jack in the Box, Las Vegas"/>
    <x v="40"/>
    <x v="3"/>
    <d v="2005-03-15T00:00:00"/>
    <x v="20"/>
    <n v="1940000"/>
    <m/>
    <m/>
    <m/>
    <m/>
    <m/>
  </r>
  <r>
    <s v="717 Battery Street"/>
    <x v="40"/>
    <x v="3"/>
    <d v="2005-02-15T00:00:00"/>
    <x v="20"/>
    <n v="7250000"/>
    <m/>
    <m/>
    <m/>
    <m/>
    <m/>
  </r>
  <r>
    <s v="Sausalito"/>
    <x v="40"/>
    <x v="3"/>
    <d v="2004-12-31T00:00:00"/>
    <x v="21"/>
    <n v="915000"/>
    <m/>
    <m/>
    <m/>
    <m/>
    <m/>
  </r>
  <r>
    <s v="733 Front Street"/>
    <x v="40"/>
    <x v="3"/>
    <d v="2004-12-15T00:00:00"/>
    <x v="21"/>
    <n v="23000000"/>
    <m/>
    <m/>
    <m/>
    <m/>
    <m/>
  </r>
  <r>
    <s v="680 2nd Street"/>
    <x v="40"/>
    <x v="3"/>
    <d v="2004-12-15T00:00:00"/>
    <x v="21"/>
    <n v="5350000"/>
    <m/>
    <m/>
    <m/>
    <m/>
    <m/>
  </r>
  <r>
    <s v="599 Post Street"/>
    <x v="40"/>
    <x v="3"/>
    <d v="2004-12-15T00:00:00"/>
    <x v="21"/>
    <n v="4000000"/>
    <m/>
    <m/>
    <m/>
    <m/>
    <m/>
  </r>
  <r>
    <s v="200 Kansas Street"/>
    <x v="40"/>
    <x v="3"/>
    <d v="2004-11-30T00:00:00"/>
    <x v="21"/>
    <n v="20000000"/>
    <m/>
    <m/>
    <m/>
    <m/>
    <m/>
  </r>
  <r>
    <s v="222 Broadway, Oakland"/>
    <x v="40"/>
    <x v="3"/>
    <d v="2004-11-30T00:00:00"/>
    <x v="21"/>
    <n v="5400000"/>
    <m/>
    <m/>
    <m/>
    <m/>
    <m/>
  </r>
  <r>
    <s v="300 Spear Street"/>
    <x v="39"/>
    <x v="3"/>
    <d v="2004-11-15T00:00:00"/>
    <x v="21"/>
    <n v="51000000"/>
    <m/>
    <m/>
    <m/>
    <m/>
    <m/>
  </r>
  <r>
    <s v="444 Spear Street"/>
    <x v="7"/>
    <x v="3"/>
    <d v="2004-10-15T00:00:00"/>
    <x v="21"/>
    <n v="8675000"/>
    <m/>
    <m/>
    <m/>
    <m/>
    <m/>
  </r>
  <r>
    <s v="535 Mission Street"/>
    <x v="7"/>
    <x v="3"/>
    <d v="2004-08-31T00:00:00"/>
    <x v="21"/>
    <n v="19250000"/>
    <m/>
    <m/>
    <m/>
    <m/>
    <m/>
  </r>
  <r>
    <s v="724 Van Ness Avenue (Symphony Towers)"/>
    <x v="8"/>
    <x v="3"/>
    <d v="2004-07-31T00:00:00"/>
    <x v="21"/>
    <n v="7100000"/>
    <m/>
    <m/>
    <m/>
    <m/>
    <m/>
  </r>
  <r>
    <s v="Las Vegas Convention Center"/>
    <x v="40"/>
    <x v="3"/>
    <d v="2004-06-30T00:00:00"/>
    <x v="21"/>
    <n v="15000000"/>
    <m/>
    <m/>
    <m/>
    <m/>
    <m/>
  </r>
  <r>
    <s v="201 Sansome Street"/>
    <x v="43"/>
    <x v="3"/>
    <d v="2004-06-30T00:00:00"/>
    <x v="21"/>
    <n v="8300000"/>
    <m/>
    <m/>
    <m/>
    <m/>
    <m/>
  </r>
  <r>
    <s v="654 Misson Street"/>
    <x v="40"/>
    <x v="3"/>
    <d v="2004-06-30T00:00:00"/>
    <x v="21"/>
    <n v="3250000"/>
    <m/>
    <m/>
    <m/>
    <m/>
    <m/>
  </r>
  <r>
    <s v="939 Market Street"/>
    <x v="38"/>
    <x v="3"/>
    <d v="2004-06-15T00:00:00"/>
    <x v="21"/>
    <n v="9050000"/>
    <m/>
    <m/>
    <m/>
    <m/>
    <m/>
  </r>
  <r>
    <s v="80 Natomas (The Century)"/>
    <x v="39"/>
    <x v="3"/>
    <d v="2004-04-15T00:00:00"/>
    <x v="21"/>
    <n v="22000000"/>
    <m/>
    <m/>
    <m/>
    <m/>
    <m/>
  </r>
  <r>
    <s v="CVS, Florida"/>
    <x v="40"/>
    <x v="3"/>
    <d v="2004-03-15T00:00:00"/>
    <x v="21"/>
    <n v="2275000"/>
    <m/>
    <m/>
    <m/>
    <m/>
    <m/>
  </r>
  <r>
    <s v="1527-1533 Pine Street"/>
    <x v="40"/>
    <x v="3"/>
    <d v="2004-01-15T00:00:00"/>
    <x v="21"/>
    <n v="2270000"/>
    <m/>
    <m/>
    <m/>
    <m/>
    <m/>
  </r>
  <r>
    <s v="222 Powell Street"/>
    <x v="6"/>
    <x v="3"/>
    <d v="2003-11-30T00:00:00"/>
    <x v="22"/>
    <n v="4500000"/>
    <m/>
    <m/>
    <m/>
    <m/>
    <m/>
  </r>
  <r>
    <s v="704 Sansome Street"/>
    <x v="43"/>
    <x v="3"/>
    <d v="2003-10-15T00:00:00"/>
    <x v="22"/>
    <n v="3025000"/>
    <m/>
    <m/>
    <m/>
    <m/>
    <m/>
  </r>
  <r>
    <s v="300 Treat Avenue"/>
    <x v="40"/>
    <x v="3"/>
    <d v="2003-08-15T00:00:00"/>
    <x v="22"/>
    <n v="8200000"/>
    <m/>
    <m/>
    <m/>
    <m/>
    <m/>
  </r>
  <r>
    <s v="171 2nd Street"/>
    <x v="7"/>
    <x v="3"/>
    <d v="2003-08-15T00:00:00"/>
    <x v="22"/>
    <n v="4850000"/>
    <m/>
    <m/>
    <m/>
    <m/>
    <m/>
  </r>
  <r>
    <s v="38 San Jacinto"/>
    <x v="40"/>
    <x v="3"/>
    <d v="2003-07-31T00:00:00"/>
    <x v="22"/>
    <n v="1400000"/>
    <m/>
    <m/>
    <m/>
    <m/>
    <m/>
  </r>
  <r>
    <s v="Wilmington (Sailor's Union), SoCal"/>
    <x v="40"/>
    <x v="3"/>
    <d v="2003-07-31T00:00:00"/>
    <x v="22"/>
    <n v="500000"/>
    <m/>
    <m/>
    <m/>
    <m/>
    <m/>
  </r>
  <r>
    <s v="699 2nd Street"/>
    <x v="40"/>
    <x v="3"/>
    <d v="2003-06-15T00:00:00"/>
    <x v="22"/>
    <n v="8500000"/>
    <m/>
    <m/>
    <m/>
    <m/>
    <m/>
  </r>
  <r>
    <s v="819 Ellis Street"/>
    <x v="40"/>
    <x v="3"/>
    <d v="2003-04-15T00:00:00"/>
    <x v="22"/>
    <n v="2200000"/>
    <m/>
    <m/>
    <m/>
    <m/>
    <m/>
  </r>
  <r>
    <s v="149 2nd Street"/>
    <x v="40"/>
    <x v="3"/>
    <d v="2003-01-31T00:00:00"/>
    <x v="22"/>
    <n v="1800000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41A4F4-ED29-441F-83A0-C1887A5926FF}" name="PivotTable8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8" firstHeaderRow="0" firstDataRow="1" firstDataCol="1" rowPageCount="2" colPageCount="1"/>
  <pivotFields count="11">
    <pivotField showAll="0"/>
    <pivotField axis="axisRow" multipleItemSelectionAllowed="1" showAll="0">
      <items count="49">
        <item x="21"/>
        <item x="2"/>
        <item x="29"/>
        <item x="23"/>
        <item x="8"/>
        <item x="32"/>
        <item x="1"/>
        <item x="34"/>
        <item x="31"/>
        <item x="19"/>
        <item x="42"/>
        <item x="22"/>
        <item x="30"/>
        <item x="5"/>
        <item x="33"/>
        <item x="14"/>
        <item x="38"/>
        <item x="44"/>
        <item x="24"/>
        <item x="25"/>
        <item x="35"/>
        <item x="43"/>
        <item x="4"/>
        <item x="16"/>
        <item x="36"/>
        <item x="0"/>
        <item x="18"/>
        <item x="10"/>
        <item x="27"/>
        <item x="13"/>
        <item x="28"/>
        <item x="45"/>
        <item x="39"/>
        <item x="17"/>
        <item x="11"/>
        <item x="20"/>
        <item x="41"/>
        <item x="7"/>
        <item x="9"/>
        <item x="15"/>
        <item x="46"/>
        <item x="37"/>
        <item x="6"/>
        <item x="47"/>
        <item x="3"/>
        <item x="26"/>
        <item x="12"/>
        <item x="40"/>
        <item t="default"/>
      </items>
    </pivotField>
    <pivotField axis="axisPage" dataField="1" multipleItemSelectionAllowed="1" showAll="0">
      <items count="9">
        <item h="1" x="1"/>
        <item h="1" x="4"/>
        <item x="0"/>
        <item h="1" x="2"/>
        <item h="1" x="6"/>
        <item h="1" x="5"/>
        <item m="1" x="7"/>
        <item h="1" x="3"/>
        <item t="default"/>
      </items>
    </pivotField>
    <pivotField showAll="0"/>
    <pivotField axis="axisPage" multipleItemSelectionAllowed="1" showAll="0">
      <items count="24"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numFmtId="167" showAll="0"/>
    <pivotField showAll="0"/>
    <pivotField showAll="0"/>
    <pivotField showAll="0"/>
    <pivotField showAll="0"/>
    <pivotField showAll="0"/>
  </pivotFields>
  <rowFields count="1">
    <field x="1"/>
  </rowFields>
  <rowItems count="4">
    <i>
      <x v="25"/>
    </i>
    <i>
      <x v="27"/>
    </i>
    <i>
      <x v="38"/>
    </i>
    <i t="grand">
      <x/>
    </i>
  </rowItems>
  <colFields count="1">
    <field x="-2"/>
  </colFields>
  <colItems count="2">
    <i>
      <x/>
    </i>
    <i i="1">
      <x v="1"/>
    </i>
  </colItems>
  <pageFields count="2">
    <pageField fld="2" hier="-1"/>
    <pageField fld="4" hier="-1"/>
  </pageFields>
  <dataFields count="2">
    <dataField name="Sum of Price" fld="5" baseField="0" baseItem="0" numFmtId="167"/>
    <dataField name="Count of Building Type" fld="2" subtotal="count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588BD-A66A-4185-96AA-53FF3DD93F22}">
  <sheetPr>
    <pageSetUpPr fitToPage="1"/>
  </sheetPr>
  <dimension ref="A1:U298"/>
  <sheetViews>
    <sheetView tabSelected="1" view="pageBreakPreview" topLeftCell="B1" zoomScale="85" zoomScaleNormal="100" zoomScaleSheetLayoutView="85" workbookViewId="0">
      <selection activeCell="O8" sqref="O8"/>
    </sheetView>
  </sheetViews>
  <sheetFormatPr defaultRowHeight="15" x14ac:dyDescent="0.25"/>
  <cols>
    <col min="1" max="1" width="27" customWidth="1"/>
    <col min="2" max="2" width="20.7109375" customWidth="1"/>
    <col min="3" max="3" width="20.7109375" style="4" customWidth="1"/>
    <col min="4" max="5" width="20.7109375" customWidth="1"/>
    <col min="6" max="6" width="20.7109375" style="3" customWidth="1"/>
    <col min="7" max="7" width="20.7109375" style="1" customWidth="1"/>
    <col min="8" max="14" width="20.7109375" style="2" customWidth="1"/>
    <col min="15" max="15" width="20.7109375" style="5" customWidth="1"/>
    <col min="16" max="17" width="12" style="6" bestFit="1" customWidth="1"/>
    <col min="18" max="18" width="9.140625" style="6"/>
    <col min="19" max="19" width="16.140625" style="6" bestFit="1" customWidth="1"/>
    <col min="20" max="20" width="13.85546875" bestFit="1" customWidth="1"/>
    <col min="21" max="21" width="11.140625" bestFit="1" customWidth="1"/>
  </cols>
  <sheetData>
    <row r="1" spans="1:21" ht="22.5" x14ac:dyDescent="0.25">
      <c r="A1" s="15" t="s">
        <v>0</v>
      </c>
      <c r="B1" s="16"/>
      <c r="C1" s="17"/>
      <c r="D1" s="16"/>
      <c r="E1" s="16"/>
      <c r="F1" s="18"/>
      <c r="G1" s="19"/>
      <c r="H1" s="20"/>
      <c r="I1" s="20"/>
      <c r="J1" s="20"/>
      <c r="K1" s="20"/>
      <c r="L1" s="20"/>
      <c r="M1" s="20"/>
      <c r="N1" s="20"/>
      <c r="O1" s="21"/>
      <c r="P1" s="22"/>
      <c r="Q1" s="22"/>
      <c r="R1" s="8"/>
      <c r="S1" s="8"/>
      <c r="T1" s="7"/>
      <c r="U1" s="7"/>
    </row>
    <row r="2" spans="1:21" x14ac:dyDescent="0.25">
      <c r="A2" s="23" t="s">
        <v>308</v>
      </c>
      <c r="B2" s="24"/>
      <c r="C2" s="25"/>
      <c r="D2" s="24"/>
      <c r="E2" s="24"/>
      <c r="F2" s="26"/>
      <c r="G2" s="27"/>
      <c r="H2" s="28"/>
      <c r="I2" s="28"/>
      <c r="J2" s="28"/>
      <c r="K2" s="28"/>
      <c r="L2" s="28"/>
      <c r="M2" s="28"/>
      <c r="N2" s="28"/>
      <c r="O2" s="29"/>
      <c r="P2" s="30"/>
      <c r="Q2" s="30"/>
      <c r="R2" s="8"/>
      <c r="S2" s="8"/>
      <c r="T2" s="12"/>
      <c r="U2" s="13"/>
    </row>
    <row r="3" spans="1:21" x14ac:dyDescent="0.25">
      <c r="A3" s="31" t="s">
        <v>1</v>
      </c>
      <c r="B3" s="32" t="s">
        <v>2</v>
      </c>
      <c r="C3" s="32" t="s">
        <v>298</v>
      </c>
      <c r="D3" s="33" t="s">
        <v>5</v>
      </c>
      <c r="E3" s="33" t="s">
        <v>314</v>
      </c>
      <c r="F3" s="34" t="s">
        <v>3</v>
      </c>
      <c r="G3" s="35" t="s">
        <v>4</v>
      </c>
      <c r="H3" s="36" t="s">
        <v>296</v>
      </c>
      <c r="I3" s="36" t="s">
        <v>350</v>
      </c>
      <c r="J3" s="36" t="s">
        <v>351</v>
      </c>
      <c r="K3" s="36" t="s">
        <v>352</v>
      </c>
      <c r="L3" s="36" t="s">
        <v>354</v>
      </c>
      <c r="M3" s="36" t="s">
        <v>315</v>
      </c>
      <c r="N3" s="36" t="s">
        <v>316</v>
      </c>
      <c r="O3" s="33" t="s">
        <v>323</v>
      </c>
      <c r="P3" s="37" t="s">
        <v>337</v>
      </c>
      <c r="Q3" s="37"/>
      <c r="S3" s="11"/>
      <c r="T3" s="2"/>
      <c r="U3" s="2"/>
    </row>
    <row r="4" spans="1:21" ht="30" customHeight="1" x14ac:dyDescent="0.25">
      <c r="A4" s="38" t="s">
        <v>342</v>
      </c>
      <c r="B4" s="39" t="s">
        <v>341</v>
      </c>
      <c r="C4" s="40" t="s">
        <v>305</v>
      </c>
      <c r="D4" s="50">
        <v>46204</v>
      </c>
      <c r="E4" s="40">
        <f t="shared" ref="E4:E68" si="0">YEAR(D4)</f>
        <v>2026</v>
      </c>
      <c r="F4" s="42">
        <v>4780000</v>
      </c>
      <c r="G4" s="43">
        <v>20738</v>
      </c>
      <c r="H4" s="44">
        <f>F4/G4</f>
        <v>230.49474394830744</v>
      </c>
      <c r="I4" s="90">
        <v>0.35562719530385412</v>
      </c>
      <c r="J4" s="90">
        <v>4.3700000000000003E-2</v>
      </c>
      <c r="K4" s="90">
        <v>0.08</v>
      </c>
      <c r="L4" s="44" t="s">
        <v>353</v>
      </c>
      <c r="M4" s="45" t="s">
        <v>340</v>
      </c>
      <c r="N4" s="45" t="s">
        <v>339</v>
      </c>
      <c r="O4" s="46" t="s">
        <v>297</v>
      </c>
      <c r="P4" s="14" t="s">
        <v>338</v>
      </c>
      <c r="Q4" s="37"/>
      <c r="S4" s="11"/>
      <c r="T4" s="2"/>
      <c r="U4" s="2"/>
    </row>
    <row r="5" spans="1:21" ht="30" customHeight="1" x14ac:dyDescent="0.25">
      <c r="A5" s="38" t="s">
        <v>348</v>
      </c>
      <c r="B5" s="39" t="s">
        <v>17</v>
      </c>
      <c r="C5" s="40" t="s">
        <v>305</v>
      </c>
      <c r="D5" s="50">
        <v>46082</v>
      </c>
      <c r="E5" s="40">
        <f t="shared" ref="E5" si="1">YEAR(D5)</f>
        <v>2026</v>
      </c>
      <c r="F5" s="42">
        <v>4900000</v>
      </c>
      <c r="G5" s="43">
        <v>11613</v>
      </c>
      <c r="H5" s="44">
        <f>F5/G5</f>
        <v>421.94092827004221</v>
      </c>
      <c r="I5" s="90"/>
      <c r="J5" s="90"/>
      <c r="K5" s="90"/>
      <c r="L5" s="44"/>
      <c r="M5" s="45" t="s">
        <v>349</v>
      </c>
      <c r="N5" s="45" t="s">
        <v>335</v>
      </c>
      <c r="O5" s="46" t="s">
        <v>297</v>
      </c>
      <c r="P5" s="14"/>
      <c r="Q5" s="37"/>
      <c r="S5" s="11"/>
      <c r="T5" s="2"/>
      <c r="U5" s="2"/>
    </row>
    <row r="6" spans="1:21" ht="30" customHeight="1" x14ac:dyDescent="0.25">
      <c r="A6" s="38" t="s">
        <v>334</v>
      </c>
      <c r="B6" s="39" t="s">
        <v>17</v>
      </c>
      <c r="C6" s="40" t="s">
        <v>302</v>
      </c>
      <c r="D6" s="50">
        <v>46141</v>
      </c>
      <c r="E6" s="40">
        <f t="shared" si="0"/>
        <v>2026</v>
      </c>
      <c r="F6" s="42">
        <v>3135000</v>
      </c>
      <c r="G6" s="43">
        <v>4135</v>
      </c>
      <c r="H6" s="44">
        <f>F6/G6</f>
        <v>758.16203143893597</v>
      </c>
      <c r="I6" s="90"/>
      <c r="J6" s="90"/>
      <c r="K6" s="90"/>
      <c r="L6" s="44"/>
      <c r="M6" s="45" t="s">
        <v>336</v>
      </c>
      <c r="N6" s="45" t="s">
        <v>335</v>
      </c>
      <c r="O6" s="46" t="s">
        <v>297</v>
      </c>
      <c r="P6" s="14"/>
      <c r="Q6" s="37"/>
      <c r="S6" s="11"/>
      <c r="T6" s="2"/>
      <c r="U6" s="2"/>
    </row>
    <row r="7" spans="1:21" ht="30" customHeight="1" x14ac:dyDescent="0.25">
      <c r="A7" s="38" t="s">
        <v>328</v>
      </c>
      <c r="B7" s="39" t="s">
        <v>7</v>
      </c>
      <c r="C7" s="40" t="s">
        <v>299</v>
      </c>
      <c r="D7" s="50">
        <v>46082</v>
      </c>
      <c r="E7" s="40">
        <f t="shared" si="0"/>
        <v>2026</v>
      </c>
      <c r="F7" s="42">
        <v>9500000</v>
      </c>
      <c r="G7" s="43">
        <v>18312</v>
      </c>
      <c r="H7" s="44">
        <f>F7/G7</f>
        <v>518.78549584971609</v>
      </c>
      <c r="I7" s="90"/>
      <c r="J7" s="90"/>
      <c r="K7" s="90"/>
      <c r="L7" s="44"/>
      <c r="M7" s="44" t="s">
        <v>329</v>
      </c>
      <c r="N7" s="44" t="s">
        <v>330</v>
      </c>
      <c r="O7" s="46" t="s">
        <v>307</v>
      </c>
      <c r="P7" s="14"/>
      <c r="Q7" s="37"/>
      <c r="S7" s="11"/>
      <c r="T7" s="2"/>
      <c r="U7" s="2"/>
    </row>
    <row r="8" spans="1:21" ht="30" customHeight="1" x14ac:dyDescent="0.25">
      <c r="A8" s="38" t="s">
        <v>6</v>
      </c>
      <c r="B8" s="39" t="s">
        <v>7</v>
      </c>
      <c r="C8" s="40" t="s">
        <v>299</v>
      </c>
      <c r="D8" s="50">
        <v>46020</v>
      </c>
      <c r="E8" s="40">
        <f t="shared" si="0"/>
        <v>2025</v>
      </c>
      <c r="F8" s="42">
        <v>13000000</v>
      </c>
      <c r="G8" s="43">
        <v>49463</v>
      </c>
      <c r="H8" s="44">
        <f>F8/G8</f>
        <v>262.82271596951256</v>
      </c>
      <c r="I8" s="90"/>
      <c r="J8" s="90"/>
      <c r="K8" s="90"/>
      <c r="L8" s="44"/>
      <c r="M8" s="44" t="s">
        <v>317</v>
      </c>
      <c r="N8" s="44" t="s">
        <v>318</v>
      </c>
      <c r="O8" s="46" t="s">
        <v>297</v>
      </c>
      <c r="P8" s="37"/>
      <c r="Q8" s="47"/>
      <c r="S8" s="11"/>
      <c r="T8" s="2"/>
      <c r="U8" s="2"/>
    </row>
    <row r="9" spans="1:21" ht="30" customHeight="1" x14ac:dyDescent="0.25">
      <c r="A9" s="38" t="s">
        <v>8</v>
      </c>
      <c r="B9" s="39" t="s">
        <v>9</v>
      </c>
      <c r="C9" s="40" t="s">
        <v>300</v>
      </c>
      <c r="D9" s="50">
        <v>45986</v>
      </c>
      <c r="E9" s="40">
        <f t="shared" si="0"/>
        <v>2025</v>
      </c>
      <c r="F9" s="42">
        <v>12881000</v>
      </c>
      <c r="G9" s="43"/>
      <c r="H9" s="44"/>
      <c r="I9" s="90"/>
      <c r="J9" s="90"/>
      <c r="K9" s="90"/>
      <c r="L9" s="44"/>
      <c r="M9" s="44"/>
      <c r="N9" s="44" t="s">
        <v>320</v>
      </c>
      <c r="O9" s="46" t="s">
        <v>307</v>
      </c>
      <c r="P9" s="37"/>
      <c r="Q9" s="47"/>
      <c r="S9" s="11"/>
      <c r="T9" s="2"/>
      <c r="U9" s="2"/>
    </row>
    <row r="10" spans="1:21" ht="30" customHeight="1" x14ac:dyDescent="0.25">
      <c r="A10" s="38" t="s">
        <v>332</v>
      </c>
      <c r="B10" s="39" t="s">
        <v>88</v>
      </c>
      <c r="C10" s="40" t="s">
        <v>333</v>
      </c>
      <c r="D10" s="50">
        <v>45962</v>
      </c>
      <c r="E10" s="40">
        <f t="shared" si="0"/>
        <v>2025</v>
      </c>
      <c r="F10" s="42">
        <v>2375000</v>
      </c>
      <c r="G10" s="43">
        <v>3000</v>
      </c>
      <c r="H10" s="44">
        <f>F10/G10</f>
        <v>791.66666666666663</v>
      </c>
      <c r="I10" s="90"/>
      <c r="J10" s="90"/>
      <c r="K10" s="90"/>
      <c r="L10" s="44"/>
      <c r="M10" s="44" t="s">
        <v>343</v>
      </c>
      <c r="N10" s="44" t="s">
        <v>344</v>
      </c>
      <c r="O10" s="46" t="s">
        <v>297</v>
      </c>
      <c r="P10" s="37" t="s">
        <v>347</v>
      </c>
      <c r="Q10" s="48"/>
      <c r="S10" s="11"/>
      <c r="T10" s="2"/>
      <c r="U10" s="2"/>
    </row>
    <row r="11" spans="1:21" ht="30" customHeight="1" x14ac:dyDescent="0.25">
      <c r="A11" s="38" t="s">
        <v>331</v>
      </c>
      <c r="B11" s="39" t="s">
        <v>304</v>
      </c>
      <c r="C11" s="40" t="s">
        <v>305</v>
      </c>
      <c r="D11" s="50">
        <v>45903</v>
      </c>
      <c r="E11" s="40">
        <f t="shared" si="0"/>
        <v>2025</v>
      </c>
      <c r="F11" s="42">
        <v>8125000</v>
      </c>
      <c r="G11" s="43"/>
      <c r="H11" s="44"/>
      <c r="I11" s="90"/>
      <c r="J11" s="90"/>
      <c r="K11" s="90"/>
      <c r="L11" s="44"/>
      <c r="M11" s="44"/>
      <c r="N11" s="44"/>
      <c r="O11" s="46" t="s">
        <v>307</v>
      </c>
      <c r="P11" s="37"/>
      <c r="Q11" s="49"/>
      <c r="S11" s="11"/>
      <c r="T11" s="2"/>
      <c r="U11" s="2"/>
    </row>
    <row r="12" spans="1:21" ht="30" customHeight="1" x14ac:dyDescent="0.25">
      <c r="A12" s="38" t="s">
        <v>10</v>
      </c>
      <c r="B12" s="39" t="s">
        <v>11</v>
      </c>
      <c r="C12" s="40"/>
      <c r="D12" s="50">
        <v>45876</v>
      </c>
      <c r="E12" s="40">
        <f t="shared" si="0"/>
        <v>2025</v>
      </c>
      <c r="F12" s="42">
        <v>420000</v>
      </c>
      <c r="G12" s="43"/>
      <c r="H12" s="44"/>
      <c r="I12" s="90"/>
      <c r="J12" s="90"/>
      <c r="K12" s="90"/>
      <c r="L12" s="44"/>
      <c r="M12" s="44"/>
      <c r="N12" s="44"/>
      <c r="O12" s="46" t="s">
        <v>297</v>
      </c>
      <c r="P12" s="37"/>
      <c r="Q12" s="49"/>
      <c r="S12" s="11"/>
      <c r="T12" s="2"/>
      <c r="U12" s="2"/>
    </row>
    <row r="13" spans="1:21" ht="30" customHeight="1" x14ac:dyDescent="0.25">
      <c r="A13" s="38" t="s">
        <v>12</v>
      </c>
      <c r="B13" s="39" t="s">
        <v>13</v>
      </c>
      <c r="C13" s="40" t="s">
        <v>301</v>
      </c>
      <c r="D13" s="50">
        <v>45841</v>
      </c>
      <c r="E13" s="40">
        <f t="shared" si="0"/>
        <v>2025</v>
      </c>
      <c r="F13" s="42">
        <v>1300000</v>
      </c>
      <c r="G13" s="43"/>
      <c r="H13" s="44"/>
      <c r="I13" s="90"/>
      <c r="J13" s="90"/>
      <c r="K13" s="90"/>
      <c r="L13" s="44"/>
      <c r="M13" s="44"/>
      <c r="N13" s="44"/>
      <c r="O13" s="46" t="s">
        <v>307</v>
      </c>
      <c r="P13" s="37"/>
      <c r="Q13" s="37"/>
      <c r="S13" s="11"/>
      <c r="T13" s="2"/>
      <c r="U13" s="2"/>
    </row>
    <row r="14" spans="1:21" ht="30" customHeight="1" x14ac:dyDescent="0.25">
      <c r="A14" s="38" t="s">
        <v>14</v>
      </c>
      <c r="B14" s="39" t="s">
        <v>15</v>
      </c>
      <c r="C14" s="40"/>
      <c r="D14" s="50">
        <v>45841</v>
      </c>
      <c r="E14" s="40">
        <f t="shared" si="0"/>
        <v>2025</v>
      </c>
      <c r="F14" s="42">
        <v>3325000</v>
      </c>
      <c r="G14" s="43"/>
      <c r="H14" s="44"/>
      <c r="I14" s="90"/>
      <c r="J14" s="90"/>
      <c r="K14" s="90"/>
      <c r="L14" s="44"/>
      <c r="M14" s="44"/>
      <c r="N14" s="44"/>
      <c r="O14" s="46" t="s">
        <v>297</v>
      </c>
      <c r="P14" s="37"/>
      <c r="Q14" s="37"/>
      <c r="S14" s="11"/>
      <c r="T14" s="2"/>
      <c r="U14" s="2"/>
    </row>
    <row r="15" spans="1:21" ht="30" customHeight="1" x14ac:dyDescent="0.25">
      <c r="A15" s="38" t="s">
        <v>16</v>
      </c>
      <c r="B15" s="39" t="s">
        <v>17</v>
      </c>
      <c r="C15" s="40" t="s">
        <v>305</v>
      </c>
      <c r="D15" s="50">
        <v>45839</v>
      </c>
      <c r="E15" s="40">
        <f t="shared" si="0"/>
        <v>2025</v>
      </c>
      <c r="F15" s="42">
        <v>7800000</v>
      </c>
      <c r="G15" s="43"/>
      <c r="H15" s="44"/>
      <c r="I15" s="90"/>
      <c r="J15" s="90"/>
      <c r="K15" s="90"/>
      <c r="L15" s="44"/>
      <c r="M15" s="44"/>
      <c r="N15" s="44"/>
      <c r="O15" s="46" t="s">
        <v>297</v>
      </c>
      <c r="P15" s="37"/>
      <c r="Q15" s="37"/>
      <c r="S15" s="11"/>
      <c r="T15" s="2"/>
      <c r="U15" s="2"/>
    </row>
    <row r="16" spans="1:21" ht="30" customHeight="1" x14ac:dyDescent="0.25">
      <c r="A16" s="38" t="s">
        <v>18</v>
      </c>
      <c r="B16" s="39" t="s">
        <v>17</v>
      </c>
      <c r="C16" s="40" t="s">
        <v>302</v>
      </c>
      <c r="D16" s="50">
        <v>45807</v>
      </c>
      <c r="E16" s="40">
        <f t="shared" si="0"/>
        <v>2025</v>
      </c>
      <c r="F16" s="42">
        <v>7500000</v>
      </c>
      <c r="G16" s="43"/>
      <c r="H16" s="44"/>
      <c r="I16" s="90"/>
      <c r="J16" s="90"/>
      <c r="K16" s="90"/>
      <c r="L16" s="44"/>
      <c r="M16" s="44"/>
      <c r="N16" s="44"/>
      <c r="O16" s="46" t="s">
        <v>309</v>
      </c>
      <c r="P16" s="37"/>
      <c r="Q16" s="37"/>
      <c r="S16" s="11"/>
      <c r="T16" s="2"/>
      <c r="U16" s="2"/>
    </row>
    <row r="17" spans="1:21" ht="30" customHeight="1" x14ac:dyDescent="0.25">
      <c r="A17" s="38" t="s">
        <v>19</v>
      </c>
      <c r="B17" s="39" t="s">
        <v>20</v>
      </c>
      <c r="C17" s="40" t="s">
        <v>303</v>
      </c>
      <c r="D17" s="50">
        <v>45796</v>
      </c>
      <c r="E17" s="40">
        <f t="shared" si="0"/>
        <v>2025</v>
      </c>
      <c r="F17" s="42">
        <v>9000000</v>
      </c>
      <c r="G17" s="43"/>
      <c r="H17" s="44"/>
      <c r="I17" s="90"/>
      <c r="J17" s="90"/>
      <c r="K17" s="90"/>
      <c r="L17" s="44"/>
      <c r="M17" s="44"/>
      <c r="N17" s="44"/>
      <c r="O17" s="46" t="s">
        <v>297</v>
      </c>
      <c r="P17" s="37"/>
      <c r="Q17" s="37"/>
      <c r="S17" s="11"/>
      <c r="T17" s="2"/>
      <c r="U17" s="2"/>
    </row>
    <row r="18" spans="1:21" ht="30" customHeight="1" x14ac:dyDescent="0.25">
      <c r="A18" s="38" t="s">
        <v>21</v>
      </c>
      <c r="B18" s="39" t="s">
        <v>22</v>
      </c>
      <c r="C18" s="40" t="s">
        <v>325</v>
      </c>
      <c r="D18" s="50">
        <v>45793</v>
      </c>
      <c r="E18" s="40">
        <f t="shared" si="0"/>
        <v>2025</v>
      </c>
      <c r="F18" s="42">
        <v>1200000</v>
      </c>
      <c r="G18" s="43"/>
      <c r="H18" s="44"/>
      <c r="I18" s="90"/>
      <c r="J18" s="90"/>
      <c r="K18" s="90"/>
      <c r="L18" s="44"/>
      <c r="M18" s="44"/>
      <c r="N18" s="44"/>
      <c r="O18" s="46" t="s">
        <v>297</v>
      </c>
      <c r="P18" s="37"/>
      <c r="Q18" s="37"/>
      <c r="S18" s="11"/>
      <c r="T18" s="2"/>
      <c r="U18" s="2"/>
    </row>
    <row r="19" spans="1:21" ht="30" customHeight="1" x14ac:dyDescent="0.25">
      <c r="A19" s="38" t="s">
        <v>23</v>
      </c>
      <c r="B19" s="39" t="s">
        <v>24</v>
      </c>
      <c r="C19" s="40" t="s">
        <v>299</v>
      </c>
      <c r="D19" s="50">
        <v>45748</v>
      </c>
      <c r="E19" s="40">
        <f t="shared" si="0"/>
        <v>2025</v>
      </c>
      <c r="F19" s="51">
        <v>8000000</v>
      </c>
      <c r="G19" s="43"/>
      <c r="H19" s="44"/>
      <c r="I19" s="90"/>
      <c r="J19" s="90"/>
      <c r="K19" s="90"/>
      <c r="L19" s="44"/>
      <c r="M19" s="44"/>
      <c r="N19" s="44"/>
      <c r="O19" s="46" t="s">
        <v>324</v>
      </c>
      <c r="P19" s="37"/>
      <c r="Q19" s="37"/>
      <c r="S19" s="11"/>
      <c r="T19" s="2"/>
      <c r="U19" s="2"/>
    </row>
    <row r="20" spans="1:21" ht="30" customHeight="1" x14ac:dyDescent="0.25">
      <c r="A20" s="38" t="s">
        <v>25</v>
      </c>
      <c r="B20" s="39" t="s">
        <v>17</v>
      </c>
      <c r="C20" s="40" t="s">
        <v>302</v>
      </c>
      <c r="D20" s="50">
        <v>45748</v>
      </c>
      <c r="E20" s="40">
        <f t="shared" si="0"/>
        <v>2025</v>
      </c>
      <c r="F20" s="51">
        <v>7400000</v>
      </c>
      <c r="G20" s="43"/>
      <c r="H20" s="44"/>
      <c r="I20" s="90"/>
      <c r="J20" s="90"/>
      <c r="K20" s="90"/>
      <c r="L20" s="44"/>
      <c r="M20" s="44"/>
      <c r="N20" s="44"/>
      <c r="O20" s="52" t="s">
        <v>309</v>
      </c>
      <c r="P20" s="37"/>
      <c r="Q20" s="37"/>
      <c r="S20" s="11"/>
      <c r="T20" s="2"/>
      <c r="U20" s="2"/>
    </row>
    <row r="21" spans="1:21" ht="30" customHeight="1" x14ac:dyDescent="0.25">
      <c r="A21" s="38" t="s">
        <v>26</v>
      </c>
      <c r="B21" s="39" t="s">
        <v>24</v>
      </c>
      <c r="C21" s="40" t="s">
        <v>303</v>
      </c>
      <c r="D21" s="50">
        <v>45597</v>
      </c>
      <c r="E21" s="40">
        <f t="shared" si="0"/>
        <v>2024</v>
      </c>
      <c r="F21" s="51">
        <v>5310000</v>
      </c>
      <c r="G21" s="43"/>
      <c r="H21" s="44"/>
      <c r="I21" s="90"/>
      <c r="J21" s="90"/>
      <c r="K21" s="90"/>
      <c r="L21" s="44"/>
      <c r="M21" s="44"/>
      <c r="N21" s="44"/>
      <c r="O21" s="52" t="s">
        <v>307</v>
      </c>
      <c r="P21" s="37"/>
      <c r="Q21" s="37"/>
      <c r="S21" s="11"/>
      <c r="T21" s="2"/>
      <c r="U21" s="2"/>
    </row>
    <row r="22" spans="1:21" ht="30" customHeight="1" x14ac:dyDescent="0.25">
      <c r="A22" s="38" t="s">
        <v>27</v>
      </c>
      <c r="B22" s="39" t="s">
        <v>24</v>
      </c>
      <c r="C22" s="40" t="s">
        <v>299</v>
      </c>
      <c r="D22" s="50">
        <v>45597</v>
      </c>
      <c r="E22" s="40">
        <f t="shared" si="0"/>
        <v>2024</v>
      </c>
      <c r="F22" s="51">
        <v>12500000</v>
      </c>
      <c r="G22" s="43"/>
      <c r="H22" s="44"/>
      <c r="I22" s="90"/>
      <c r="J22" s="90"/>
      <c r="K22" s="90"/>
      <c r="L22" s="44"/>
      <c r="M22" s="44"/>
      <c r="N22" s="44"/>
      <c r="O22" s="46" t="s">
        <v>324</v>
      </c>
      <c r="P22" s="37"/>
      <c r="Q22" s="37"/>
      <c r="S22" s="11"/>
      <c r="T22" s="2"/>
      <c r="U22" s="2"/>
    </row>
    <row r="23" spans="1:21" ht="30" customHeight="1" x14ac:dyDescent="0.25">
      <c r="A23" s="38" t="s">
        <v>28</v>
      </c>
      <c r="B23" s="39" t="s">
        <v>29</v>
      </c>
      <c r="C23" s="40" t="s">
        <v>299</v>
      </c>
      <c r="D23" s="50">
        <v>45519</v>
      </c>
      <c r="E23" s="40">
        <f t="shared" si="0"/>
        <v>2024</v>
      </c>
      <c r="F23" s="51">
        <v>1500000</v>
      </c>
      <c r="G23" s="43"/>
      <c r="H23" s="44"/>
      <c r="I23" s="90"/>
      <c r="J23" s="90"/>
      <c r="K23" s="90"/>
      <c r="L23" s="44"/>
      <c r="M23" s="44"/>
      <c r="N23" s="44"/>
      <c r="O23" s="46" t="s">
        <v>307</v>
      </c>
      <c r="P23" s="37"/>
      <c r="Q23" s="37"/>
      <c r="S23" s="11"/>
      <c r="T23" s="2"/>
      <c r="U23" s="2"/>
    </row>
    <row r="24" spans="1:21" ht="30" customHeight="1" x14ac:dyDescent="0.25">
      <c r="A24" s="38" t="s">
        <v>30</v>
      </c>
      <c r="B24" s="39" t="s">
        <v>29</v>
      </c>
      <c r="C24" s="40" t="s">
        <v>299</v>
      </c>
      <c r="D24" s="50">
        <v>45519</v>
      </c>
      <c r="E24" s="40">
        <f t="shared" si="0"/>
        <v>2024</v>
      </c>
      <c r="F24" s="51">
        <v>22500000</v>
      </c>
      <c r="G24" s="43"/>
      <c r="H24" s="44"/>
      <c r="I24" s="90"/>
      <c r="J24" s="90"/>
      <c r="K24" s="90"/>
      <c r="L24" s="44"/>
      <c r="M24" s="44"/>
      <c r="N24" s="44"/>
      <c r="O24" s="46" t="s">
        <v>307</v>
      </c>
      <c r="P24" s="37"/>
      <c r="Q24" s="37"/>
      <c r="S24" s="11"/>
      <c r="T24" s="2"/>
      <c r="U24" s="2"/>
    </row>
    <row r="25" spans="1:21" ht="30" customHeight="1" x14ac:dyDescent="0.25">
      <c r="A25" s="38" t="s">
        <v>31</v>
      </c>
      <c r="B25" s="39" t="s">
        <v>322</v>
      </c>
      <c r="C25" s="40" t="s">
        <v>321</v>
      </c>
      <c r="D25" s="50">
        <v>45511</v>
      </c>
      <c r="E25" s="40">
        <f t="shared" si="0"/>
        <v>2024</v>
      </c>
      <c r="F25" s="51">
        <v>9100000</v>
      </c>
      <c r="G25" s="43"/>
      <c r="H25" s="44"/>
      <c r="I25" s="90"/>
      <c r="J25" s="90"/>
      <c r="K25" s="90"/>
      <c r="L25" s="44"/>
      <c r="M25" s="44"/>
      <c r="N25" s="44"/>
      <c r="O25" s="46" t="s">
        <v>307</v>
      </c>
      <c r="P25" s="37"/>
      <c r="Q25" s="37"/>
      <c r="S25" s="11"/>
      <c r="T25" s="2"/>
      <c r="U25" s="2"/>
    </row>
    <row r="26" spans="1:21" ht="30" customHeight="1" x14ac:dyDescent="0.25">
      <c r="A26" s="38" t="s">
        <v>32</v>
      </c>
      <c r="B26" s="39" t="s">
        <v>33</v>
      </c>
      <c r="C26" s="40" t="s">
        <v>305</v>
      </c>
      <c r="D26" s="50">
        <v>45448</v>
      </c>
      <c r="E26" s="40">
        <f t="shared" si="0"/>
        <v>2024</v>
      </c>
      <c r="F26" s="51">
        <v>6650000</v>
      </c>
      <c r="G26" s="43"/>
      <c r="H26" s="44"/>
      <c r="I26" s="90"/>
      <c r="J26" s="90"/>
      <c r="K26" s="90"/>
      <c r="L26" s="44"/>
      <c r="M26" s="44"/>
      <c r="N26" s="44"/>
      <c r="O26" s="46" t="s">
        <v>297</v>
      </c>
      <c r="P26" s="37"/>
      <c r="Q26" s="37"/>
      <c r="S26" s="11"/>
      <c r="T26" s="2"/>
      <c r="U26" s="2"/>
    </row>
    <row r="27" spans="1:21" ht="30" customHeight="1" x14ac:dyDescent="0.25">
      <c r="A27" s="38" t="s">
        <v>326</v>
      </c>
      <c r="B27" s="39" t="s">
        <v>34</v>
      </c>
      <c r="C27" s="40" t="s">
        <v>302</v>
      </c>
      <c r="D27" s="50">
        <v>45446</v>
      </c>
      <c r="E27" s="40">
        <f t="shared" si="0"/>
        <v>2024</v>
      </c>
      <c r="F27" s="51">
        <v>10685000</v>
      </c>
      <c r="G27" s="43"/>
      <c r="H27" s="44"/>
      <c r="I27" s="90"/>
      <c r="J27" s="90"/>
      <c r="K27" s="90"/>
      <c r="L27" s="44"/>
      <c r="M27" s="44"/>
      <c r="N27" s="44"/>
      <c r="O27" s="46" t="s">
        <v>309</v>
      </c>
      <c r="P27" s="37"/>
      <c r="Q27" s="37"/>
      <c r="S27" s="11"/>
      <c r="T27" s="2"/>
      <c r="U27" s="2"/>
    </row>
    <row r="28" spans="1:21" ht="30" customHeight="1" x14ac:dyDescent="0.25">
      <c r="A28" s="38" t="s">
        <v>35</v>
      </c>
      <c r="B28" s="39" t="s">
        <v>36</v>
      </c>
      <c r="C28" s="40" t="s">
        <v>299</v>
      </c>
      <c r="D28" s="50">
        <v>45427</v>
      </c>
      <c r="E28" s="40">
        <f t="shared" si="0"/>
        <v>2024</v>
      </c>
      <c r="F28" s="51">
        <v>2030000</v>
      </c>
      <c r="G28" s="43"/>
      <c r="H28" s="44"/>
      <c r="I28" s="90"/>
      <c r="J28" s="90"/>
      <c r="K28" s="90"/>
      <c r="L28" s="44"/>
      <c r="M28" s="44"/>
      <c r="N28" s="44"/>
      <c r="O28" s="46" t="s">
        <v>307</v>
      </c>
      <c r="P28" s="37"/>
      <c r="Q28" s="37"/>
      <c r="S28" s="11"/>
      <c r="T28" s="2"/>
      <c r="U28" s="2"/>
    </row>
    <row r="29" spans="1:21" ht="30" customHeight="1" x14ac:dyDescent="0.25">
      <c r="A29" s="38" t="s">
        <v>37</v>
      </c>
      <c r="B29" s="39" t="s">
        <v>38</v>
      </c>
      <c r="C29" s="40" t="s">
        <v>305</v>
      </c>
      <c r="D29" s="50">
        <v>45376</v>
      </c>
      <c r="E29" s="40">
        <f t="shared" si="0"/>
        <v>2024</v>
      </c>
      <c r="F29" s="51">
        <v>3950000</v>
      </c>
      <c r="G29" s="43"/>
      <c r="H29" s="44"/>
      <c r="I29" s="90"/>
      <c r="J29" s="90"/>
      <c r="K29" s="90"/>
      <c r="L29" s="44"/>
      <c r="M29" s="44"/>
      <c r="N29" s="44"/>
      <c r="O29" s="46" t="s">
        <v>307</v>
      </c>
      <c r="P29" s="37"/>
      <c r="Q29" s="37"/>
      <c r="S29" s="11"/>
      <c r="T29" s="2"/>
      <c r="U29" s="2"/>
    </row>
    <row r="30" spans="1:21" ht="30" customHeight="1" x14ac:dyDescent="0.25">
      <c r="A30" s="38" t="s">
        <v>39</v>
      </c>
      <c r="B30" s="39" t="s">
        <v>40</v>
      </c>
      <c r="C30" s="40" t="s">
        <v>303</v>
      </c>
      <c r="D30" s="50">
        <v>45322</v>
      </c>
      <c r="E30" s="40">
        <f t="shared" si="0"/>
        <v>2024</v>
      </c>
      <c r="F30" s="51">
        <v>12250000</v>
      </c>
      <c r="G30" s="43"/>
      <c r="H30" s="44"/>
      <c r="I30" s="90"/>
      <c r="J30" s="90"/>
      <c r="K30" s="90"/>
      <c r="L30" s="44"/>
      <c r="M30" s="44"/>
      <c r="N30" s="44"/>
      <c r="O30" s="46" t="s">
        <v>297</v>
      </c>
      <c r="P30" s="37"/>
      <c r="Q30" s="37"/>
      <c r="S30" s="11"/>
      <c r="T30" s="2"/>
      <c r="U30" s="2"/>
    </row>
    <row r="31" spans="1:21" ht="30" customHeight="1" x14ac:dyDescent="0.25">
      <c r="A31" s="38" t="s">
        <v>41</v>
      </c>
      <c r="B31" s="39" t="s">
        <v>42</v>
      </c>
      <c r="C31" s="40" t="s">
        <v>327</v>
      </c>
      <c r="D31" s="50">
        <v>45295</v>
      </c>
      <c r="E31" s="40">
        <f t="shared" si="0"/>
        <v>2024</v>
      </c>
      <c r="F31" s="51">
        <v>3420000</v>
      </c>
      <c r="G31" s="43"/>
      <c r="H31" s="44"/>
      <c r="I31" s="90"/>
      <c r="J31" s="90"/>
      <c r="K31" s="90"/>
      <c r="L31" s="44"/>
      <c r="M31" s="44"/>
      <c r="N31" s="44"/>
      <c r="O31" s="46" t="s">
        <v>297</v>
      </c>
      <c r="P31" s="37"/>
      <c r="Q31" s="37"/>
    </row>
    <row r="32" spans="1:21" ht="30" customHeight="1" x14ac:dyDescent="0.25">
      <c r="A32" s="38" t="s">
        <v>43</v>
      </c>
      <c r="B32" s="39" t="s">
        <v>20</v>
      </c>
      <c r="C32" s="40" t="s">
        <v>346</v>
      </c>
      <c r="D32" s="50">
        <v>45253</v>
      </c>
      <c r="E32" s="40">
        <f t="shared" si="0"/>
        <v>2023</v>
      </c>
      <c r="F32" s="51">
        <v>2200000</v>
      </c>
      <c r="G32" s="43"/>
      <c r="H32" s="44"/>
      <c r="I32" s="90"/>
      <c r="J32" s="90"/>
      <c r="K32" s="90"/>
      <c r="L32" s="44"/>
      <c r="M32" s="44"/>
      <c r="N32" s="44"/>
      <c r="O32" s="46" t="s">
        <v>297</v>
      </c>
      <c r="P32" s="37" t="s">
        <v>345</v>
      </c>
      <c r="Q32" s="37"/>
    </row>
    <row r="33" spans="1:17" ht="30" customHeight="1" x14ac:dyDescent="0.25">
      <c r="A33" s="38" t="s">
        <v>44</v>
      </c>
      <c r="B33" s="39" t="s">
        <v>45</v>
      </c>
      <c r="C33" s="40" t="s">
        <v>299</v>
      </c>
      <c r="D33" s="50">
        <v>45200</v>
      </c>
      <c r="E33" s="40">
        <f t="shared" si="0"/>
        <v>2023</v>
      </c>
      <c r="F33" s="51">
        <v>11150000</v>
      </c>
      <c r="G33" s="43"/>
      <c r="H33" s="44"/>
      <c r="I33" s="90"/>
      <c r="J33" s="90"/>
      <c r="K33" s="90"/>
      <c r="L33" s="44"/>
      <c r="M33" s="44"/>
      <c r="N33" s="44"/>
      <c r="O33" s="46"/>
      <c r="P33" s="37"/>
      <c r="Q33" s="37"/>
    </row>
    <row r="34" spans="1:17" ht="30" customHeight="1" x14ac:dyDescent="0.25">
      <c r="A34" s="38" t="s">
        <v>46</v>
      </c>
      <c r="B34" s="39" t="s">
        <v>20</v>
      </c>
      <c r="C34" s="40"/>
      <c r="D34" s="50">
        <v>45135</v>
      </c>
      <c r="E34" s="40">
        <f t="shared" si="0"/>
        <v>2023</v>
      </c>
      <c r="F34" s="51">
        <v>4491000</v>
      </c>
      <c r="G34" s="43"/>
      <c r="H34" s="44"/>
      <c r="I34" s="90"/>
      <c r="J34" s="90"/>
      <c r="K34" s="90"/>
      <c r="L34" s="44"/>
      <c r="M34" s="44"/>
      <c r="N34" s="44"/>
      <c r="O34" s="46"/>
      <c r="P34" s="37"/>
      <c r="Q34" s="37"/>
    </row>
    <row r="35" spans="1:17" ht="30" customHeight="1" x14ac:dyDescent="0.25">
      <c r="A35" s="38" t="s">
        <v>47</v>
      </c>
      <c r="B35" s="39" t="s">
        <v>17</v>
      </c>
      <c r="C35" s="40" t="s">
        <v>305</v>
      </c>
      <c r="D35" s="50">
        <v>45013</v>
      </c>
      <c r="E35" s="40">
        <f t="shared" si="0"/>
        <v>2023</v>
      </c>
      <c r="F35" s="51">
        <v>10400000</v>
      </c>
      <c r="G35" s="43"/>
      <c r="H35" s="44"/>
      <c r="I35" s="90"/>
      <c r="J35" s="90"/>
      <c r="K35" s="90"/>
      <c r="L35" s="44"/>
      <c r="M35" s="44"/>
      <c r="N35" s="44"/>
      <c r="O35" s="46"/>
      <c r="P35" s="37"/>
      <c r="Q35" s="37"/>
    </row>
    <row r="36" spans="1:17" ht="30" customHeight="1" x14ac:dyDescent="0.25">
      <c r="A36" s="38" t="s">
        <v>48</v>
      </c>
      <c r="B36" s="39" t="s">
        <v>33</v>
      </c>
      <c r="C36" s="40"/>
      <c r="D36" s="50">
        <v>44949</v>
      </c>
      <c r="E36" s="40">
        <f t="shared" si="0"/>
        <v>2023</v>
      </c>
      <c r="F36" s="53">
        <v>9900000</v>
      </c>
      <c r="G36" s="43"/>
      <c r="H36" s="44"/>
      <c r="I36" s="90"/>
      <c r="J36" s="90"/>
      <c r="K36" s="90"/>
      <c r="L36" s="44"/>
      <c r="M36" s="44"/>
      <c r="N36" s="44"/>
      <c r="O36" s="46"/>
      <c r="P36" s="37"/>
      <c r="Q36" s="37"/>
    </row>
    <row r="37" spans="1:17" ht="30" customHeight="1" x14ac:dyDescent="0.25">
      <c r="A37" s="38" t="s">
        <v>49</v>
      </c>
      <c r="B37" s="39" t="s">
        <v>33</v>
      </c>
      <c r="C37" s="40"/>
      <c r="D37" s="50">
        <v>44910</v>
      </c>
      <c r="E37" s="40">
        <f t="shared" si="0"/>
        <v>2022</v>
      </c>
      <c r="F37" s="53">
        <v>6100000</v>
      </c>
      <c r="G37" s="43"/>
      <c r="H37" s="44"/>
      <c r="I37" s="90"/>
      <c r="J37" s="90"/>
      <c r="K37" s="90"/>
      <c r="L37" s="44"/>
      <c r="M37" s="44"/>
      <c r="N37" s="44"/>
      <c r="O37" s="46"/>
      <c r="P37" s="37"/>
      <c r="Q37" s="37"/>
    </row>
    <row r="38" spans="1:17" ht="30" customHeight="1" x14ac:dyDescent="0.25">
      <c r="A38" s="38" t="s">
        <v>50</v>
      </c>
      <c r="B38" s="39" t="s">
        <v>33</v>
      </c>
      <c r="C38" s="40"/>
      <c r="D38" s="50">
        <v>44856</v>
      </c>
      <c r="E38" s="40">
        <f t="shared" si="0"/>
        <v>2022</v>
      </c>
      <c r="F38" s="53">
        <v>1150000</v>
      </c>
      <c r="G38" s="43"/>
      <c r="H38" s="44"/>
      <c r="I38" s="90"/>
      <c r="J38" s="90"/>
      <c r="K38" s="90"/>
      <c r="L38" s="44"/>
      <c r="M38" s="44"/>
      <c r="N38" s="44"/>
      <c r="O38" s="46"/>
      <c r="P38" s="37"/>
      <c r="Q38" s="37"/>
    </row>
    <row r="39" spans="1:17" ht="30" customHeight="1" x14ac:dyDescent="0.25">
      <c r="A39" s="38" t="s">
        <v>51</v>
      </c>
      <c r="B39" s="39" t="s">
        <v>52</v>
      </c>
      <c r="C39" s="40"/>
      <c r="D39" s="50">
        <v>44856</v>
      </c>
      <c r="E39" s="40">
        <f t="shared" si="0"/>
        <v>2022</v>
      </c>
      <c r="F39" s="53">
        <v>6600000</v>
      </c>
      <c r="G39" s="43"/>
      <c r="H39" s="44"/>
      <c r="I39" s="90"/>
      <c r="J39" s="90"/>
      <c r="K39" s="90"/>
      <c r="L39" s="44"/>
      <c r="M39" s="44"/>
      <c r="N39" s="44"/>
      <c r="O39" s="46"/>
      <c r="P39" s="37"/>
      <c r="Q39" s="37"/>
    </row>
    <row r="40" spans="1:17" ht="30" customHeight="1" x14ac:dyDescent="0.25">
      <c r="A40" s="38" t="s">
        <v>53</v>
      </c>
      <c r="B40" s="39" t="s">
        <v>54</v>
      </c>
      <c r="C40" s="40"/>
      <c r="D40" s="50">
        <v>44835</v>
      </c>
      <c r="E40" s="40">
        <f t="shared" si="0"/>
        <v>2022</v>
      </c>
      <c r="F40" s="53">
        <v>3300000</v>
      </c>
      <c r="G40" s="43"/>
      <c r="H40" s="44"/>
      <c r="I40" s="90"/>
      <c r="J40" s="90"/>
      <c r="K40" s="90"/>
      <c r="L40" s="44"/>
      <c r="M40" s="44"/>
      <c r="N40" s="44"/>
      <c r="O40" s="46"/>
      <c r="P40" s="37"/>
      <c r="Q40" s="37"/>
    </row>
    <row r="41" spans="1:17" ht="30" customHeight="1" x14ac:dyDescent="0.25">
      <c r="A41" s="38" t="s">
        <v>55</v>
      </c>
      <c r="B41" s="39" t="s">
        <v>56</v>
      </c>
      <c r="C41" s="40"/>
      <c r="D41" s="50">
        <v>44795</v>
      </c>
      <c r="E41" s="40">
        <f t="shared" si="0"/>
        <v>2022</v>
      </c>
      <c r="F41" s="53">
        <v>15280000</v>
      </c>
      <c r="G41" s="43"/>
      <c r="H41" s="44"/>
      <c r="I41" s="90"/>
      <c r="J41" s="90"/>
      <c r="K41" s="90"/>
      <c r="L41" s="44"/>
      <c r="M41" s="44"/>
      <c r="N41" s="44"/>
      <c r="O41" s="46"/>
      <c r="P41" s="37"/>
      <c r="Q41" s="37"/>
    </row>
    <row r="42" spans="1:17" ht="30" customHeight="1" x14ac:dyDescent="0.25">
      <c r="A42" s="38" t="s">
        <v>57</v>
      </c>
      <c r="B42" s="39" t="s">
        <v>58</v>
      </c>
      <c r="C42" s="40"/>
      <c r="D42" s="50">
        <v>44703</v>
      </c>
      <c r="E42" s="40">
        <f t="shared" si="0"/>
        <v>2022</v>
      </c>
      <c r="F42" s="53">
        <v>9500000</v>
      </c>
      <c r="G42" s="43"/>
      <c r="H42" s="44"/>
      <c r="I42" s="90"/>
      <c r="J42" s="90"/>
      <c r="K42" s="90"/>
      <c r="L42" s="44"/>
      <c r="M42" s="44"/>
      <c r="N42" s="44"/>
      <c r="O42" s="46"/>
      <c r="P42" s="37"/>
      <c r="Q42" s="37"/>
    </row>
    <row r="43" spans="1:17" ht="30" customHeight="1" x14ac:dyDescent="0.25">
      <c r="A43" s="38" t="s">
        <v>59</v>
      </c>
      <c r="B43" s="39" t="s">
        <v>20</v>
      </c>
      <c r="C43" s="40"/>
      <c r="D43" s="50">
        <v>44642</v>
      </c>
      <c r="E43" s="40">
        <f t="shared" si="0"/>
        <v>2022</v>
      </c>
      <c r="F43" s="53">
        <v>4200000</v>
      </c>
      <c r="G43" s="43"/>
      <c r="H43" s="44"/>
      <c r="I43" s="90"/>
      <c r="J43" s="90"/>
      <c r="K43" s="90"/>
      <c r="L43" s="44"/>
      <c r="M43" s="44"/>
      <c r="N43" s="44"/>
      <c r="O43" s="46"/>
      <c r="P43" s="37"/>
      <c r="Q43" s="37"/>
    </row>
    <row r="44" spans="1:17" ht="30" customHeight="1" x14ac:dyDescent="0.25">
      <c r="A44" s="38" t="s">
        <v>60</v>
      </c>
      <c r="B44" s="39" t="s">
        <v>29</v>
      </c>
      <c r="C44" s="40"/>
      <c r="D44" s="50">
        <v>44642</v>
      </c>
      <c r="E44" s="40">
        <f t="shared" si="0"/>
        <v>2022</v>
      </c>
      <c r="F44" s="53">
        <v>13600000</v>
      </c>
      <c r="G44" s="43"/>
      <c r="H44" s="44"/>
      <c r="I44" s="90"/>
      <c r="J44" s="90"/>
      <c r="K44" s="90"/>
      <c r="L44" s="44"/>
      <c r="M44" s="44"/>
      <c r="N44" s="44"/>
      <c r="O44" s="46"/>
      <c r="P44" s="37"/>
      <c r="Q44" s="37"/>
    </row>
    <row r="45" spans="1:17" ht="30" customHeight="1" x14ac:dyDescent="0.25">
      <c r="A45" s="38" t="s">
        <v>61</v>
      </c>
      <c r="B45" s="39" t="s">
        <v>62</v>
      </c>
      <c r="C45" s="40"/>
      <c r="D45" s="50">
        <v>44642</v>
      </c>
      <c r="E45" s="40">
        <f t="shared" si="0"/>
        <v>2022</v>
      </c>
      <c r="F45" s="53">
        <v>7740000</v>
      </c>
      <c r="G45" s="43"/>
      <c r="H45" s="44"/>
      <c r="I45" s="90"/>
      <c r="J45" s="90"/>
      <c r="K45" s="90"/>
      <c r="L45" s="44"/>
      <c r="M45" s="44"/>
      <c r="N45" s="44"/>
      <c r="O45" s="46"/>
      <c r="P45" s="37"/>
      <c r="Q45" s="37"/>
    </row>
    <row r="46" spans="1:17" ht="30" customHeight="1" x14ac:dyDescent="0.25">
      <c r="A46" s="38" t="s">
        <v>63</v>
      </c>
      <c r="B46" s="39" t="s">
        <v>17</v>
      </c>
      <c r="C46" s="40"/>
      <c r="D46" s="50">
        <v>44642</v>
      </c>
      <c r="E46" s="40">
        <f t="shared" si="0"/>
        <v>2022</v>
      </c>
      <c r="F46" s="53">
        <v>3472500</v>
      </c>
      <c r="G46" s="43"/>
      <c r="H46" s="44"/>
      <c r="I46" s="90"/>
      <c r="J46" s="90"/>
      <c r="K46" s="90"/>
      <c r="L46" s="44"/>
      <c r="M46" s="44"/>
      <c r="N46" s="44"/>
      <c r="O46" s="46"/>
      <c r="P46" s="37"/>
      <c r="Q46" s="37"/>
    </row>
    <row r="47" spans="1:17" ht="30" customHeight="1" x14ac:dyDescent="0.25">
      <c r="A47" s="38" t="s">
        <v>64</v>
      </c>
      <c r="B47" s="39" t="s">
        <v>65</v>
      </c>
      <c r="C47" s="40" t="s">
        <v>303</v>
      </c>
      <c r="D47" s="50">
        <v>44593</v>
      </c>
      <c r="E47" s="40">
        <f t="shared" si="0"/>
        <v>2022</v>
      </c>
      <c r="F47" s="53">
        <v>42760000</v>
      </c>
      <c r="G47" s="43"/>
      <c r="H47" s="44"/>
      <c r="I47" s="90"/>
      <c r="J47" s="90"/>
      <c r="K47" s="90"/>
      <c r="L47" s="44"/>
      <c r="M47" s="44"/>
      <c r="N47" s="44"/>
      <c r="O47" s="46"/>
      <c r="P47" s="37"/>
      <c r="Q47" s="37"/>
    </row>
    <row r="48" spans="1:17" ht="30" customHeight="1" x14ac:dyDescent="0.25">
      <c r="A48" s="38" t="s">
        <v>66</v>
      </c>
      <c r="B48" s="39" t="s">
        <v>20</v>
      </c>
      <c r="C48" s="40"/>
      <c r="D48" s="50">
        <v>44562</v>
      </c>
      <c r="E48" s="40">
        <f t="shared" si="0"/>
        <v>2022</v>
      </c>
      <c r="F48" s="53">
        <v>53000000</v>
      </c>
      <c r="G48" s="43"/>
      <c r="H48" s="44"/>
      <c r="I48" s="90"/>
      <c r="J48" s="90"/>
      <c r="K48" s="90"/>
      <c r="L48" s="44"/>
      <c r="M48" s="44"/>
      <c r="N48" s="44"/>
      <c r="O48" s="46"/>
      <c r="P48" s="37"/>
      <c r="Q48" s="37"/>
    </row>
    <row r="49" spans="1:17" ht="30" customHeight="1" x14ac:dyDescent="0.25">
      <c r="A49" s="38" t="s">
        <v>67</v>
      </c>
      <c r="B49" s="39" t="s">
        <v>7</v>
      </c>
      <c r="C49" s="40"/>
      <c r="D49" s="50">
        <v>44490</v>
      </c>
      <c r="E49" s="40">
        <f t="shared" si="0"/>
        <v>2021</v>
      </c>
      <c r="F49" s="53">
        <v>25500000</v>
      </c>
      <c r="G49" s="43"/>
      <c r="H49" s="44"/>
      <c r="I49" s="90"/>
      <c r="J49" s="90"/>
      <c r="K49" s="90"/>
      <c r="L49" s="44"/>
      <c r="M49" s="44"/>
      <c r="N49" s="44"/>
      <c r="O49" s="46"/>
      <c r="P49" s="37"/>
      <c r="Q49" s="37"/>
    </row>
    <row r="50" spans="1:17" ht="30" customHeight="1" x14ac:dyDescent="0.25">
      <c r="A50" s="38" t="s">
        <v>68</v>
      </c>
      <c r="B50" s="39" t="s">
        <v>69</v>
      </c>
      <c r="C50" s="40"/>
      <c r="D50" s="50">
        <v>44490</v>
      </c>
      <c r="E50" s="40">
        <f t="shared" si="0"/>
        <v>2021</v>
      </c>
      <c r="F50" s="53">
        <v>8500000</v>
      </c>
      <c r="G50" s="43"/>
      <c r="H50" s="44"/>
      <c r="I50" s="90"/>
      <c r="J50" s="90"/>
      <c r="K50" s="90"/>
      <c r="L50" s="44"/>
      <c r="M50" s="44"/>
      <c r="N50" s="44"/>
      <c r="O50" s="46"/>
      <c r="P50" s="37"/>
      <c r="Q50" s="37"/>
    </row>
    <row r="51" spans="1:17" ht="30" customHeight="1" x14ac:dyDescent="0.25">
      <c r="A51" s="38" t="s">
        <v>70</v>
      </c>
      <c r="B51" s="39" t="s">
        <v>71</v>
      </c>
      <c r="C51" s="40"/>
      <c r="D51" s="50">
        <v>44460</v>
      </c>
      <c r="E51" s="40">
        <f t="shared" si="0"/>
        <v>2021</v>
      </c>
      <c r="F51" s="53">
        <v>2390000</v>
      </c>
      <c r="G51" s="43"/>
      <c r="H51" s="44"/>
      <c r="I51" s="90"/>
      <c r="J51" s="90"/>
      <c r="K51" s="90"/>
      <c r="L51" s="44"/>
      <c r="M51" s="44"/>
      <c r="N51" s="44"/>
      <c r="O51" s="46"/>
      <c r="P51" s="37"/>
      <c r="Q51" s="37"/>
    </row>
    <row r="52" spans="1:17" ht="30" customHeight="1" x14ac:dyDescent="0.25">
      <c r="A52" s="38" t="s">
        <v>72</v>
      </c>
      <c r="B52" s="39" t="s">
        <v>73</v>
      </c>
      <c r="C52" s="40"/>
      <c r="D52" s="50">
        <v>44429</v>
      </c>
      <c r="E52" s="40">
        <f t="shared" si="0"/>
        <v>2021</v>
      </c>
      <c r="F52" s="53">
        <v>9500000</v>
      </c>
      <c r="G52" s="43"/>
      <c r="H52" s="44"/>
      <c r="I52" s="90"/>
      <c r="J52" s="90"/>
      <c r="K52" s="90"/>
      <c r="L52" s="44"/>
      <c r="M52" s="44"/>
      <c r="N52" s="44"/>
      <c r="O52" s="46"/>
      <c r="P52" s="37"/>
      <c r="Q52" s="37"/>
    </row>
    <row r="53" spans="1:17" ht="30" customHeight="1" x14ac:dyDescent="0.25">
      <c r="A53" s="38" t="s">
        <v>74</v>
      </c>
      <c r="B53" s="39" t="s">
        <v>75</v>
      </c>
      <c r="C53" s="40"/>
      <c r="D53" s="50">
        <v>44378</v>
      </c>
      <c r="E53" s="40">
        <f t="shared" si="0"/>
        <v>2021</v>
      </c>
      <c r="F53" s="53">
        <v>2850000</v>
      </c>
      <c r="G53" s="43"/>
      <c r="H53" s="44"/>
      <c r="I53" s="90"/>
      <c r="J53" s="90"/>
      <c r="K53" s="90"/>
      <c r="L53" s="44"/>
      <c r="M53" s="44"/>
      <c r="N53" s="44"/>
      <c r="O53" s="46"/>
      <c r="P53" s="37"/>
      <c r="Q53" s="37"/>
    </row>
    <row r="54" spans="1:17" ht="30" customHeight="1" x14ac:dyDescent="0.25">
      <c r="A54" s="38" t="s">
        <v>76</v>
      </c>
      <c r="B54" s="39" t="s">
        <v>77</v>
      </c>
      <c r="C54" s="40"/>
      <c r="D54" s="50">
        <v>44368</v>
      </c>
      <c r="E54" s="40">
        <f t="shared" si="0"/>
        <v>2021</v>
      </c>
      <c r="F54" s="53">
        <v>55000000</v>
      </c>
      <c r="G54" s="43"/>
      <c r="H54" s="44"/>
      <c r="I54" s="90"/>
      <c r="J54" s="90"/>
      <c r="K54" s="90"/>
      <c r="L54" s="44"/>
      <c r="M54" s="44"/>
      <c r="N54" s="44"/>
      <c r="O54" s="46"/>
      <c r="P54" s="37"/>
      <c r="Q54" s="37"/>
    </row>
    <row r="55" spans="1:17" ht="30" customHeight="1" x14ac:dyDescent="0.25">
      <c r="A55" s="38" t="s">
        <v>78</v>
      </c>
      <c r="B55" s="39" t="s">
        <v>22</v>
      </c>
      <c r="C55" s="40"/>
      <c r="D55" s="50">
        <v>44368</v>
      </c>
      <c r="E55" s="40">
        <f t="shared" si="0"/>
        <v>2021</v>
      </c>
      <c r="F55" s="53">
        <v>14000000</v>
      </c>
      <c r="G55" s="43"/>
      <c r="H55" s="44"/>
      <c r="I55" s="90"/>
      <c r="J55" s="90"/>
      <c r="K55" s="90"/>
      <c r="L55" s="44"/>
      <c r="M55" s="44"/>
      <c r="N55" s="44"/>
      <c r="O55" s="46"/>
      <c r="P55" s="37"/>
      <c r="Q55" s="37"/>
    </row>
    <row r="56" spans="1:17" ht="30" customHeight="1" x14ac:dyDescent="0.25">
      <c r="A56" s="38" t="s">
        <v>79</v>
      </c>
      <c r="B56" s="39" t="s">
        <v>29</v>
      </c>
      <c r="C56" s="40"/>
      <c r="D56" s="50">
        <v>44368</v>
      </c>
      <c r="E56" s="40">
        <f t="shared" si="0"/>
        <v>2021</v>
      </c>
      <c r="F56" s="53">
        <v>1348000</v>
      </c>
      <c r="G56" s="43"/>
      <c r="H56" s="44"/>
      <c r="I56" s="90"/>
      <c r="J56" s="90"/>
      <c r="K56" s="90"/>
      <c r="L56" s="44"/>
      <c r="M56" s="44"/>
      <c r="N56" s="44"/>
      <c r="O56" s="46"/>
      <c r="P56" s="37"/>
      <c r="Q56" s="37"/>
    </row>
    <row r="57" spans="1:17" ht="30" customHeight="1" x14ac:dyDescent="0.25">
      <c r="A57" s="38" t="s">
        <v>80</v>
      </c>
      <c r="B57" s="39" t="s">
        <v>20</v>
      </c>
      <c r="C57" s="40"/>
      <c r="D57" s="50">
        <v>44155</v>
      </c>
      <c r="E57" s="40">
        <f t="shared" si="0"/>
        <v>2020</v>
      </c>
      <c r="F57" s="53">
        <v>11000000</v>
      </c>
      <c r="G57" s="43"/>
      <c r="H57" s="44"/>
      <c r="I57" s="90"/>
      <c r="J57" s="90"/>
      <c r="K57" s="90"/>
      <c r="L57" s="44"/>
      <c r="M57" s="44"/>
      <c r="N57" s="44"/>
      <c r="O57" s="46" t="s">
        <v>297</v>
      </c>
      <c r="P57" s="37"/>
      <c r="Q57" s="37"/>
    </row>
    <row r="58" spans="1:17" ht="30" customHeight="1" x14ac:dyDescent="0.25">
      <c r="A58" s="38" t="s">
        <v>81</v>
      </c>
      <c r="B58" s="39" t="s">
        <v>17</v>
      </c>
      <c r="C58" s="40"/>
      <c r="D58" s="50">
        <v>44075</v>
      </c>
      <c r="E58" s="40">
        <f t="shared" si="0"/>
        <v>2020</v>
      </c>
      <c r="F58" s="53">
        <v>9000000</v>
      </c>
      <c r="G58" s="43"/>
      <c r="H58" s="44"/>
      <c r="I58" s="90"/>
      <c r="J58" s="90"/>
      <c r="K58" s="90"/>
      <c r="L58" s="44"/>
      <c r="M58" s="44"/>
      <c r="N58" s="44"/>
      <c r="O58" s="46"/>
      <c r="P58" s="37"/>
      <c r="Q58" s="37"/>
    </row>
    <row r="59" spans="1:17" ht="30" customHeight="1" x14ac:dyDescent="0.25">
      <c r="A59" s="38" t="s">
        <v>82</v>
      </c>
      <c r="B59" s="39" t="s">
        <v>83</v>
      </c>
      <c r="C59" s="40"/>
      <c r="D59" s="50">
        <v>44044</v>
      </c>
      <c r="E59" s="40">
        <f t="shared" si="0"/>
        <v>2020</v>
      </c>
      <c r="F59" s="53">
        <v>8000000</v>
      </c>
      <c r="G59" s="43"/>
      <c r="H59" s="44"/>
      <c r="I59" s="90"/>
      <c r="J59" s="90"/>
      <c r="K59" s="90"/>
      <c r="L59" s="44"/>
      <c r="M59" s="44"/>
      <c r="N59" s="44"/>
      <c r="O59" s="46"/>
      <c r="P59" s="37"/>
      <c r="Q59" s="37"/>
    </row>
    <row r="60" spans="1:17" ht="30" customHeight="1" x14ac:dyDescent="0.25">
      <c r="A60" s="38" t="s">
        <v>84</v>
      </c>
      <c r="B60" s="39" t="s">
        <v>62</v>
      </c>
      <c r="C60" s="40"/>
      <c r="D60" s="50">
        <v>43920</v>
      </c>
      <c r="E60" s="40">
        <f t="shared" si="0"/>
        <v>2020</v>
      </c>
      <c r="F60" s="53">
        <v>7300000</v>
      </c>
      <c r="G60" s="43"/>
      <c r="H60" s="44"/>
      <c r="I60" s="90"/>
      <c r="J60" s="90"/>
      <c r="K60" s="90"/>
      <c r="L60" s="44"/>
      <c r="M60" s="44"/>
      <c r="N60" s="44"/>
      <c r="O60" s="46"/>
      <c r="P60" s="37"/>
      <c r="Q60" s="37"/>
    </row>
    <row r="61" spans="1:17" ht="30" customHeight="1" x14ac:dyDescent="0.25">
      <c r="A61" s="38" t="s">
        <v>68</v>
      </c>
      <c r="B61" s="39" t="s">
        <v>69</v>
      </c>
      <c r="C61" s="40"/>
      <c r="D61" s="50">
        <v>43881</v>
      </c>
      <c r="E61" s="40">
        <f t="shared" si="0"/>
        <v>2020</v>
      </c>
      <c r="F61" s="53">
        <v>8270000</v>
      </c>
      <c r="G61" s="43"/>
      <c r="H61" s="44"/>
      <c r="I61" s="90"/>
      <c r="J61" s="90"/>
      <c r="K61" s="90"/>
      <c r="L61" s="44"/>
      <c r="M61" s="44"/>
      <c r="N61" s="44"/>
      <c r="O61" s="46"/>
      <c r="P61" s="37"/>
      <c r="Q61" s="37"/>
    </row>
    <row r="62" spans="1:17" ht="30" customHeight="1" x14ac:dyDescent="0.25">
      <c r="A62" s="38" t="s">
        <v>85</v>
      </c>
      <c r="B62" s="39" t="s">
        <v>86</v>
      </c>
      <c r="C62" s="40"/>
      <c r="D62" s="50">
        <v>43881</v>
      </c>
      <c r="E62" s="40">
        <f t="shared" si="0"/>
        <v>2020</v>
      </c>
      <c r="F62" s="53">
        <v>7250000</v>
      </c>
      <c r="G62" s="43"/>
      <c r="H62" s="44"/>
      <c r="I62" s="90"/>
      <c r="J62" s="90"/>
      <c r="K62" s="90"/>
      <c r="L62" s="44"/>
      <c r="M62" s="44"/>
      <c r="N62" s="44"/>
      <c r="O62" s="46"/>
      <c r="P62" s="37"/>
      <c r="Q62" s="37"/>
    </row>
    <row r="63" spans="1:17" ht="30" customHeight="1" x14ac:dyDescent="0.25">
      <c r="A63" s="38" t="s">
        <v>87</v>
      </c>
      <c r="B63" s="39" t="s">
        <v>88</v>
      </c>
      <c r="C63" s="40"/>
      <c r="D63" s="50">
        <v>43850</v>
      </c>
      <c r="E63" s="40">
        <f t="shared" si="0"/>
        <v>2020</v>
      </c>
      <c r="F63" s="53">
        <v>8000000</v>
      </c>
      <c r="G63" s="43"/>
      <c r="H63" s="44"/>
      <c r="I63" s="90"/>
      <c r="J63" s="90"/>
      <c r="K63" s="90"/>
      <c r="L63" s="44"/>
      <c r="M63" s="44"/>
      <c r="N63" s="44"/>
      <c r="O63" s="46"/>
      <c r="P63" s="37"/>
      <c r="Q63" s="37"/>
    </row>
    <row r="64" spans="1:17" ht="30" customHeight="1" x14ac:dyDescent="0.25">
      <c r="A64" s="38" t="s">
        <v>89</v>
      </c>
      <c r="B64" s="39" t="s">
        <v>69</v>
      </c>
      <c r="C64" s="40"/>
      <c r="D64" s="50">
        <v>43788</v>
      </c>
      <c r="E64" s="40">
        <f t="shared" si="0"/>
        <v>2019</v>
      </c>
      <c r="F64" s="53">
        <v>8800000</v>
      </c>
      <c r="G64" s="43"/>
      <c r="H64" s="44"/>
      <c r="I64" s="90"/>
      <c r="J64" s="90"/>
      <c r="K64" s="90"/>
      <c r="L64" s="44"/>
      <c r="M64" s="44"/>
      <c r="N64" s="44"/>
      <c r="O64" s="46"/>
      <c r="P64" s="37"/>
      <c r="Q64" s="37"/>
    </row>
    <row r="65" spans="1:17" ht="30" customHeight="1" x14ac:dyDescent="0.25">
      <c r="A65" s="38" t="s">
        <v>90</v>
      </c>
      <c r="B65" s="39" t="s">
        <v>20</v>
      </c>
      <c r="C65" s="40"/>
      <c r="D65" s="50">
        <v>43788</v>
      </c>
      <c r="E65" s="40">
        <f t="shared" si="0"/>
        <v>2019</v>
      </c>
      <c r="F65" s="53">
        <v>14500000</v>
      </c>
      <c r="G65" s="43"/>
      <c r="H65" s="44"/>
      <c r="I65" s="90"/>
      <c r="J65" s="90"/>
      <c r="K65" s="90"/>
      <c r="L65" s="44"/>
      <c r="M65" s="44"/>
      <c r="N65" s="44"/>
      <c r="O65" s="46"/>
      <c r="P65" s="37"/>
      <c r="Q65" s="37"/>
    </row>
    <row r="66" spans="1:17" ht="30" customHeight="1" x14ac:dyDescent="0.25">
      <c r="A66" s="38" t="s">
        <v>91</v>
      </c>
      <c r="B66" s="39" t="s">
        <v>92</v>
      </c>
      <c r="C66" s="40"/>
      <c r="D66" s="50">
        <v>43727</v>
      </c>
      <c r="E66" s="40">
        <f t="shared" si="0"/>
        <v>2019</v>
      </c>
      <c r="F66" s="53">
        <v>8774000</v>
      </c>
      <c r="G66" s="43"/>
      <c r="H66" s="44"/>
      <c r="I66" s="90"/>
      <c r="J66" s="90"/>
      <c r="K66" s="90"/>
      <c r="L66" s="44"/>
      <c r="M66" s="44"/>
      <c r="N66" s="44"/>
      <c r="O66" s="46"/>
      <c r="P66" s="37"/>
      <c r="Q66" s="37"/>
    </row>
    <row r="67" spans="1:17" ht="30" customHeight="1" x14ac:dyDescent="0.25">
      <c r="A67" s="38" t="s">
        <v>93</v>
      </c>
      <c r="B67" s="39" t="s">
        <v>20</v>
      </c>
      <c r="C67" s="40"/>
      <c r="D67" s="50">
        <v>43696</v>
      </c>
      <c r="E67" s="40">
        <f t="shared" si="0"/>
        <v>2019</v>
      </c>
      <c r="F67" s="53">
        <v>3800000</v>
      </c>
      <c r="G67" s="43"/>
      <c r="H67" s="44"/>
      <c r="I67" s="90"/>
      <c r="J67" s="90"/>
      <c r="K67" s="90"/>
      <c r="L67" s="44"/>
      <c r="M67" s="44"/>
      <c r="N67" s="44"/>
      <c r="O67" s="46"/>
      <c r="P67" s="37"/>
      <c r="Q67" s="37"/>
    </row>
    <row r="68" spans="1:17" ht="30" customHeight="1" x14ac:dyDescent="0.25">
      <c r="A68" s="38" t="s">
        <v>94</v>
      </c>
      <c r="B68" s="39" t="s">
        <v>95</v>
      </c>
      <c r="C68" s="40"/>
      <c r="D68" s="50">
        <v>43696</v>
      </c>
      <c r="E68" s="40">
        <f t="shared" si="0"/>
        <v>2019</v>
      </c>
      <c r="F68" s="53">
        <v>28000000</v>
      </c>
      <c r="G68" s="43"/>
      <c r="H68" s="44"/>
      <c r="I68" s="90"/>
      <c r="J68" s="90"/>
      <c r="K68" s="90"/>
      <c r="L68" s="44"/>
      <c r="M68" s="44"/>
      <c r="N68" s="44"/>
      <c r="O68" s="46"/>
      <c r="P68" s="37"/>
      <c r="Q68" s="37"/>
    </row>
    <row r="69" spans="1:17" ht="30" customHeight="1" x14ac:dyDescent="0.25">
      <c r="A69" s="38" t="s">
        <v>96</v>
      </c>
      <c r="B69" s="39" t="s">
        <v>13</v>
      </c>
      <c r="C69" s="40"/>
      <c r="D69" s="50">
        <v>43678</v>
      </c>
      <c r="E69" s="40">
        <f t="shared" ref="E69:E132" si="2">YEAR(D69)</f>
        <v>2019</v>
      </c>
      <c r="F69" s="53">
        <v>8000000</v>
      </c>
      <c r="G69" s="43"/>
      <c r="H69" s="44"/>
      <c r="I69" s="90"/>
      <c r="J69" s="90"/>
      <c r="K69" s="90"/>
      <c r="L69" s="44"/>
      <c r="M69" s="44"/>
      <c r="N69" s="44"/>
      <c r="O69" s="46"/>
      <c r="P69" s="37"/>
      <c r="Q69" s="37"/>
    </row>
    <row r="70" spans="1:17" ht="30" customHeight="1" x14ac:dyDescent="0.25">
      <c r="A70" s="38" t="s">
        <v>97</v>
      </c>
      <c r="B70" s="39" t="s">
        <v>13</v>
      </c>
      <c r="C70" s="40"/>
      <c r="D70" s="50">
        <v>43656</v>
      </c>
      <c r="E70" s="40">
        <f t="shared" si="2"/>
        <v>2019</v>
      </c>
      <c r="F70" s="53">
        <v>20000000</v>
      </c>
      <c r="G70" s="43"/>
      <c r="H70" s="44"/>
      <c r="I70" s="90"/>
      <c r="J70" s="90"/>
      <c r="K70" s="90"/>
      <c r="L70" s="44"/>
      <c r="M70" s="44"/>
      <c r="N70" s="44"/>
      <c r="O70" s="46"/>
      <c r="P70" s="37"/>
      <c r="Q70" s="37"/>
    </row>
    <row r="71" spans="1:17" ht="30" customHeight="1" x14ac:dyDescent="0.25">
      <c r="A71" s="38" t="s">
        <v>98</v>
      </c>
      <c r="B71" s="39" t="s">
        <v>20</v>
      </c>
      <c r="C71" s="40"/>
      <c r="D71" s="50">
        <v>43647</v>
      </c>
      <c r="E71" s="40">
        <f t="shared" si="2"/>
        <v>2019</v>
      </c>
      <c r="F71" s="53">
        <v>24000000</v>
      </c>
      <c r="G71" s="43"/>
      <c r="H71" s="44"/>
      <c r="I71" s="90"/>
      <c r="J71" s="90"/>
      <c r="K71" s="90"/>
      <c r="L71" s="44"/>
      <c r="M71" s="44"/>
      <c r="N71" s="44"/>
      <c r="O71" s="46"/>
      <c r="P71" s="37"/>
      <c r="Q71" s="37"/>
    </row>
    <row r="72" spans="1:17" ht="30" customHeight="1" x14ac:dyDescent="0.25">
      <c r="A72" s="38" t="s">
        <v>99</v>
      </c>
      <c r="B72" s="39" t="s">
        <v>20</v>
      </c>
      <c r="C72" s="40"/>
      <c r="D72" s="50">
        <v>43635</v>
      </c>
      <c r="E72" s="40">
        <f t="shared" si="2"/>
        <v>2019</v>
      </c>
      <c r="F72" s="53">
        <v>26000000</v>
      </c>
      <c r="G72" s="43"/>
      <c r="H72" s="44"/>
      <c r="I72" s="90"/>
      <c r="J72" s="90"/>
      <c r="K72" s="90"/>
      <c r="L72" s="44"/>
      <c r="M72" s="44"/>
      <c r="N72" s="44"/>
      <c r="O72" s="46"/>
      <c r="P72" s="37"/>
      <c r="Q72" s="37"/>
    </row>
    <row r="73" spans="1:17" ht="30" customHeight="1" x14ac:dyDescent="0.25">
      <c r="A73" s="38" t="s">
        <v>100</v>
      </c>
      <c r="B73" s="39" t="s">
        <v>20</v>
      </c>
      <c r="C73" s="40"/>
      <c r="D73" s="50">
        <v>43604</v>
      </c>
      <c r="E73" s="40">
        <f t="shared" si="2"/>
        <v>2019</v>
      </c>
      <c r="F73" s="53">
        <v>78000000</v>
      </c>
      <c r="G73" s="43"/>
      <c r="H73" s="44"/>
      <c r="I73" s="90"/>
      <c r="J73" s="90"/>
      <c r="K73" s="90"/>
      <c r="L73" s="44"/>
      <c r="M73" s="44"/>
      <c r="N73" s="44"/>
      <c r="O73" s="46"/>
      <c r="P73" s="37"/>
      <c r="Q73" s="37"/>
    </row>
    <row r="74" spans="1:17" ht="30" customHeight="1" x14ac:dyDescent="0.25">
      <c r="A74" s="38" t="s">
        <v>101</v>
      </c>
      <c r="B74" s="39" t="s">
        <v>20</v>
      </c>
      <c r="C74" s="40"/>
      <c r="D74" s="50">
        <v>43532</v>
      </c>
      <c r="E74" s="40">
        <f t="shared" si="2"/>
        <v>2019</v>
      </c>
      <c r="F74" s="53">
        <v>5250000</v>
      </c>
      <c r="G74" s="43"/>
      <c r="H74" s="44"/>
      <c r="I74" s="90"/>
      <c r="J74" s="90"/>
      <c r="K74" s="90"/>
      <c r="L74" s="44"/>
      <c r="M74" s="44"/>
      <c r="N74" s="44"/>
      <c r="O74" s="46"/>
      <c r="P74" s="37"/>
      <c r="Q74" s="37"/>
    </row>
    <row r="75" spans="1:17" ht="30" customHeight="1" x14ac:dyDescent="0.25">
      <c r="A75" s="38" t="s">
        <v>102</v>
      </c>
      <c r="B75" s="39" t="s">
        <v>103</v>
      </c>
      <c r="C75" s="40"/>
      <c r="D75" s="50">
        <v>43515</v>
      </c>
      <c r="E75" s="40">
        <f t="shared" si="2"/>
        <v>2019</v>
      </c>
      <c r="F75" s="53">
        <v>24000000</v>
      </c>
      <c r="G75" s="43"/>
      <c r="H75" s="44"/>
      <c r="I75" s="90"/>
      <c r="J75" s="90"/>
      <c r="K75" s="90"/>
      <c r="L75" s="44"/>
      <c r="M75" s="44"/>
      <c r="N75" s="44"/>
      <c r="O75" s="46"/>
      <c r="P75" s="37"/>
      <c r="Q75" s="37"/>
    </row>
    <row r="76" spans="1:17" ht="30" customHeight="1" x14ac:dyDescent="0.25">
      <c r="A76" s="38" t="s">
        <v>104</v>
      </c>
      <c r="B76" s="39" t="s">
        <v>20</v>
      </c>
      <c r="C76" s="40"/>
      <c r="D76" s="50">
        <v>43474</v>
      </c>
      <c r="E76" s="40">
        <f t="shared" si="2"/>
        <v>2019</v>
      </c>
      <c r="F76" s="53">
        <v>3700000</v>
      </c>
      <c r="G76" s="43"/>
      <c r="H76" s="44"/>
      <c r="I76" s="90"/>
      <c r="J76" s="90"/>
      <c r="K76" s="90"/>
      <c r="L76" s="44"/>
      <c r="M76" s="44"/>
      <c r="N76" s="44"/>
      <c r="O76" s="46"/>
      <c r="P76" s="37"/>
      <c r="Q76" s="37"/>
    </row>
    <row r="77" spans="1:17" ht="30" customHeight="1" x14ac:dyDescent="0.25">
      <c r="A77" s="38" t="s">
        <v>105</v>
      </c>
      <c r="B77" s="39" t="s">
        <v>106</v>
      </c>
      <c r="C77" s="40"/>
      <c r="D77" s="50">
        <v>43452</v>
      </c>
      <c r="E77" s="40">
        <f t="shared" si="2"/>
        <v>2018</v>
      </c>
      <c r="F77" s="53">
        <v>9600000</v>
      </c>
      <c r="G77" s="43"/>
      <c r="H77" s="44"/>
      <c r="I77" s="90"/>
      <c r="J77" s="90"/>
      <c r="K77" s="90"/>
      <c r="L77" s="44"/>
      <c r="M77" s="44"/>
      <c r="N77" s="44"/>
      <c r="O77" s="46"/>
      <c r="P77" s="37"/>
      <c r="Q77" s="37"/>
    </row>
    <row r="78" spans="1:17" ht="30" customHeight="1" x14ac:dyDescent="0.25">
      <c r="A78" s="38" t="s">
        <v>107</v>
      </c>
      <c r="B78" s="39" t="s">
        <v>108</v>
      </c>
      <c r="C78" s="40"/>
      <c r="D78" s="50">
        <v>43422</v>
      </c>
      <c r="E78" s="40">
        <f t="shared" si="2"/>
        <v>2018</v>
      </c>
      <c r="F78" s="53">
        <v>4500000</v>
      </c>
      <c r="G78" s="43"/>
      <c r="H78" s="44"/>
      <c r="I78" s="90"/>
      <c r="J78" s="90"/>
      <c r="K78" s="90"/>
      <c r="L78" s="44"/>
      <c r="M78" s="44"/>
      <c r="N78" s="44"/>
      <c r="O78" s="46"/>
      <c r="P78" s="37"/>
      <c r="Q78" s="37"/>
    </row>
    <row r="79" spans="1:17" ht="30" customHeight="1" x14ac:dyDescent="0.25">
      <c r="A79" s="38" t="s">
        <v>109</v>
      </c>
      <c r="B79" s="39" t="s">
        <v>45</v>
      </c>
      <c r="C79" s="40"/>
      <c r="D79" s="50">
        <v>43374</v>
      </c>
      <c r="E79" s="40">
        <f t="shared" si="2"/>
        <v>2018</v>
      </c>
      <c r="F79" s="53">
        <v>33000000</v>
      </c>
      <c r="G79" s="43"/>
      <c r="H79" s="44"/>
      <c r="I79" s="90"/>
      <c r="J79" s="90"/>
      <c r="K79" s="90"/>
      <c r="L79" s="44"/>
      <c r="M79" s="44"/>
      <c r="N79" s="44"/>
      <c r="O79" s="46"/>
      <c r="P79" s="37"/>
      <c r="Q79" s="37"/>
    </row>
    <row r="80" spans="1:17" ht="30" customHeight="1" x14ac:dyDescent="0.25">
      <c r="A80" s="38" t="s">
        <v>23</v>
      </c>
      <c r="B80" s="39" t="s">
        <v>20</v>
      </c>
      <c r="C80" s="40"/>
      <c r="D80" s="50">
        <v>43361</v>
      </c>
      <c r="E80" s="40">
        <f t="shared" si="2"/>
        <v>2018</v>
      </c>
      <c r="F80" s="53">
        <v>25300000</v>
      </c>
      <c r="G80" s="43"/>
      <c r="H80" s="44"/>
      <c r="I80" s="90"/>
      <c r="J80" s="90"/>
      <c r="K80" s="90"/>
      <c r="L80" s="44"/>
      <c r="M80" s="44"/>
      <c r="N80" s="44"/>
      <c r="O80" s="46"/>
      <c r="P80" s="37"/>
      <c r="Q80" s="37"/>
    </row>
    <row r="81" spans="1:17" ht="30" customHeight="1" x14ac:dyDescent="0.25">
      <c r="A81" s="38" t="s">
        <v>110</v>
      </c>
      <c r="B81" s="39" t="s">
        <v>20</v>
      </c>
      <c r="C81" s="40"/>
      <c r="D81" s="50">
        <v>43313</v>
      </c>
      <c r="E81" s="40">
        <f t="shared" si="2"/>
        <v>2018</v>
      </c>
      <c r="F81" s="53">
        <v>27200000</v>
      </c>
      <c r="G81" s="43"/>
      <c r="H81" s="44"/>
      <c r="I81" s="90"/>
      <c r="J81" s="90"/>
      <c r="K81" s="90"/>
      <c r="L81" s="44"/>
      <c r="M81" s="44"/>
      <c r="N81" s="44"/>
      <c r="O81" s="46"/>
      <c r="P81" s="37"/>
      <c r="Q81" s="37"/>
    </row>
    <row r="82" spans="1:17" ht="30" customHeight="1" x14ac:dyDescent="0.25">
      <c r="A82" s="38" t="s">
        <v>111</v>
      </c>
      <c r="B82" s="39" t="s">
        <v>20</v>
      </c>
      <c r="C82" s="40"/>
      <c r="D82" s="50">
        <v>43299</v>
      </c>
      <c r="E82" s="40">
        <f t="shared" si="2"/>
        <v>2018</v>
      </c>
      <c r="F82" s="53">
        <v>2500000</v>
      </c>
      <c r="G82" s="43"/>
      <c r="H82" s="44"/>
      <c r="I82" s="90"/>
      <c r="J82" s="90"/>
      <c r="K82" s="90"/>
      <c r="L82" s="44"/>
      <c r="M82" s="44"/>
      <c r="N82" s="44"/>
      <c r="O82" s="46"/>
      <c r="P82" s="37"/>
      <c r="Q82" s="37"/>
    </row>
    <row r="83" spans="1:17" ht="30" customHeight="1" x14ac:dyDescent="0.25">
      <c r="A83" s="38" t="s">
        <v>112</v>
      </c>
      <c r="B83" s="39" t="s">
        <v>103</v>
      </c>
      <c r="C83" s="40"/>
      <c r="D83" s="50">
        <v>43238</v>
      </c>
      <c r="E83" s="40">
        <f t="shared" si="2"/>
        <v>2018</v>
      </c>
      <c r="F83" s="53">
        <v>23400000</v>
      </c>
      <c r="G83" s="43"/>
      <c r="H83" s="44"/>
      <c r="I83" s="90"/>
      <c r="J83" s="90"/>
      <c r="K83" s="90"/>
      <c r="L83" s="44"/>
      <c r="M83" s="44"/>
      <c r="N83" s="44"/>
      <c r="O83" s="46"/>
      <c r="P83" s="37"/>
      <c r="Q83" s="37"/>
    </row>
    <row r="84" spans="1:17" ht="30" customHeight="1" x14ac:dyDescent="0.25">
      <c r="A84" s="38" t="s">
        <v>113</v>
      </c>
      <c r="B84" s="39" t="s">
        <v>20</v>
      </c>
      <c r="C84" s="40"/>
      <c r="D84" s="50">
        <v>43208</v>
      </c>
      <c r="E84" s="40">
        <f t="shared" si="2"/>
        <v>2018</v>
      </c>
      <c r="F84" s="53">
        <v>2950000</v>
      </c>
      <c r="G84" s="43"/>
      <c r="H84" s="44"/>
      <c r="I84" s="90"/>
      <c r="J84" s="90"/>
      <c r="K84" s="90"/>
      <c r="L84" s="44"/>
      <c r="M84" s="44"/>
      <c r="N84" s="44"/>
      <c r="O84" s="46"/>
      <c r="P84" s="37"/>
      <c r="Q84" s="37"/>
    </row>
    <row r="85" spans="1:17" ht="30" customHeight="1" x14ac:dyDescent="0.25">
      <c r="A85" s="38" t="s">
        <v>114</v>
      </c>
      <c r="B85" s="39" t="s">
        <v>115</v>
      </c>
      <c r="C85" s="40"/>
      <c r="D85" s="50">
        <v>43146</v>
      </c>
      <c r="E85" s="40">
        <f t="shared" si="2"/>
        <v>2018</v>
      </c>
      <c r="F85" s="53">
        <v>11000000</v>
      </c>
      <c r="G85" s="43"/>
      <c r="H85" s="44"/>
      <c r="I85" s="90"/>
      <c r="J85" s="90"/>
      <c r="K85" s="90"/>
      <c r="L85" s="44"/>
      <c r="M85" s="44"/>
      <c r="N85" s="44"/>
      <c r="O85" s="46"/>
      <c r="P85" s="37"/>
      <c r="Q85" s="37"/>
    </row>
    <row r="86" spans="1:17" ht="30" customHeight="1" x14ac:dyDescent="0.25">
      <c r="A86" s="38" t="s">
        <v>116</v>
      </c>
      <c r="B86" s="39" t="s">
        <v>117</v>
      </c>
      <c r="C86" s="40"/>
      <c r="D86" s="50">
        <v>43131</v>
      </c>
      <c r="E86" s="40">
        <f t="shared" si="2"/>
        <v>2018</v>
      </c>
      <c r="F86" s="53">
        <v>9500000</v>
      </c>
      <c r="G86" s="43"/>
      <c r="H86" s="44"/>
      <c r="I86" s="90"/>
      <c r="J86" s="90"/>
      <c r="K86" s="90"/>
      <c r="L86" s="44"/>
      <c r="M86" s="44"/>
      <c r="N86" s="44"/>
      <c r="O86" s="46"/>
      <c r="P86" s="37"/>
      <c r="Q86" s="37"/>
    </row>
    <row r="87" spans="1:17" ht="30" customHeight="1" x14ac:dyDescent="0.25">
      <c r="A87" s="38" t="s">
        <v>118</v>
      </c>
      <c r="B87" s="39" t="s">
        <v>36</v>
      </c>
      <c r="C87" s="40"/>
      <c r="D87" s="50">
        <v>43123</v>
      </c>
      <c r="E87" s="40">
        <f t="shared" si="2"/>
        <v>2018</v>
      </c>
      <c r="F87" s="53">
        <v>8250000</v>
      </c>
      <c r="G87" s="43"/>
      <c r="H87" s="44"/>
      <c r="I87" s="90"/>
      <c r="J87" s="90"/>
      <c r="K87" s="90"/>
      <c r="L87" s="44"/>
      <c r="M87" s="44"/>
      <c r="N87" s="44"/>
      <c r="O87" s="46"/>
      <c r="P87" s="37"/>
      <c r="Q87" s="37"/>
    </row>
    <row r="88" spans="1:17" ht="30" customHeight="1" x14ac:dyDescent="0.25">
      <c r="A88" s="38" t="s">
        <v>119</v>
      </c>
      <c r="B88" s="39" t="s">
        <v>62</v>
      </c>
      <c r="C88" s="40"/>
      <c r="D88" s="50">
        <v>43101</v>
      </c>
      <c r="E88" s="40">
        <f t="shared" si="2"/>
        <v>2018</v>
      </c>
      <c r="F88" s="53">
        <v>6900000</v>
      </c>
      <c r="G88" s="43"/>
      <c r="H88" s="44"/>
      <c r="I88" s="90"/>
      <c r="J88" s="90"/>
      <c r="K88" s="90"/>
      <c r="L88" s="44"/>
      <c r="M88" s="44"/>
      <c r="N88" s="44"/>
      <c r="O88" s="46"/>
      <c r="P88" s="37"/>
      <c r="Q88" s="37"/>
    </row>
    <row r="89" spans="1:17" ht="30" customHeight="1" x14ac:dyDescent="0.25">
      <c r="A89" s="38" t="s">
        <v>120</v>
      </c>
      <c r="B89" s="39" t="s">
        <v>42</v>
      </c>
      <c r="C89" s="40"/>
      <c r="D89" s="50">
        <v>43040</v>
      </c>
      <c r="E89" s="40">
        <f t="shared" si="2"/>
        <v>2017</v>
      </c>
      <c r="F89" s="53">
        <v>8500000</v>
      </c>
      <c r="G89" s="43"/>
      <c r="H89" s="44"/>
      <c r="I89" s="90"/>
      <c r="J89" s="90"/>
      <c r="K89" s="90"/>
      <c r="L89" s="44"/>
      <c r="M89" s="44"/>
      <c r="N89" s="44"/>
      <c r="O89" s="46"/>
      <c r="P89" s="37"/>
      <c r="Q89" s="37"/>
    </row>
    <row r="90" spans="1:17" ht="30" customHeight="1" x14ac:dyDescent="0.25">
      <c r="A90" s="38" t="s">
        <v>121</v>
      </c>
      <c r="B90" s="39" t="s">
        <v>69</v>
      </c>
      <c r="C90" s="40"/>
      <c r="D90" s="50">
        <v>43025</v>
      </c>
      <c r="E90" s="40">
        <f t="shared" si="2"/>
        <v>2017</v>
      </c>
      <c r="F90" s="53">
        <v>1600000</v>
      </c>
      <c r="G90" s="43"/>
      <c r="H90" s="44"/>
      <c r="I90" s="90"/>
      <c r="J90" s="90"/>
      <c r="K90" s="90"/>
      <c r="L90" s="44"/>
      <c r="M90" s="44"/>
      <c r="N90" s="44"/>
      <c r="O90" s="46"/>
      <c r="P90" s="37"/>
      <c r="Q90" s="37"/>
    </row>
    <row r="91" spans="1:17" ht="30" customHeight="1" x14ac:dyDescent="0.25">
      <c r="A91" s="38" t="s">
        <v>122</v>
      </c>
      <c r="B91" s="39" t="s">
        <v>20</v>
      </c>
      <c r="C91" s="40"/>
      <c r="D91" s="50">
        <v>43025</v>
      </c>
      <c r="E91" s="40">
        <f t="shared" si="2"/>
        <v>2017</v>
      </c>
      <c r="F91" s="53">
        <v>13000000</v>
      </c>
      <c r="G91" s="43"/>
      <c r="H91" s="44"/>
      <c r="I91" s="90"/>
      <c r="J91" s="90"/>
      <c r="K91" s="90"/>
      <c r="L91" s="44"/>
      <c r="M91" s="44"/>
      <c r="N91" s="44"/>
      <c r="O91" s="46"/>
      <c r="P91" s="37"/>
      <c r="Q91" s="37"/>
    </row>
    <row r="92" spans="1:17" ht="30" customHeight="1" x14ac:dyDescent="0.25">
      <c r="A92" s="38" t="s">
        <v>123</v>
      </c>
      <c r="B92" s="39" t="s">
        <v>42</v>
      </c>
      <c r="C92" s="40"/>
      <c r="D92" s="50">
        <v>42995</v>
      </c>
      <c r="E92" s="40">
        <f t="shared" si="2"/>
        <v>2017</v>
      </c>
      <c r="F92" s="53">
        <v>7200000</v>
      </c>
      <c r="G92" s="43"/>
      <c r="H92" s="44"/>
      <c r="I92" s="90"/>
      <c r="J92" s="90"/>
      <c r="K92" s="90"/>
      <c r="L92" s="44"/>
      <c r="M92" s="44"/>
      <c r="N92" s="44"/>
      <c r="O92" s="46"/>
      <c r="P92" s="37"/>
      <c r="Q92" s="37"/>
    </row>
    <row r="93" spans="1:17" ht="30" customHeight="1" x14ac:dyDescent="0.25">
      <c r="A93" s="38" t="s">
        <v>124</v>
      </c>
      <c r="B93" s="39" t="s">
        <v>65</v>
      </c>
      <c r="C93" s="40"/>
      <c r="D93" s="50">
        <v>42917</v>
      </c>
      <c r="E93" s="40">
        <f t="shared" si="2"/>
        <v>2017</v>
      </c>
      <c r="F93" s="53">
        <v>37250000</v>
      </c>
      <c r="G93" s="43"/>
      <c r="H93" s="44"/>
      <c r="I93" s="90"/>
      <c r="J93" s="90"/>
      <c r="K93" s="90"/>
      <c r="L93" s="44"/>
      <c r="M93" s="44"/>
      <c r="N93" s="44"/>
      <c r="O93" s="46"/>
      <c r="P93" s="37"/>
      <c r="Q93" s="37"/>
    </row>
    <row r="94" spans="1:17" ht="30" customHeight="1" x14ac:dyDescent="0.25">
      <c r="A94" s="38" t="s">
        <v>125</v>
      </c>
      <c r="B94" s="39" t="s">
        <v>103</v>
      </c>
      <c r="C94" s="40"/>
      <c r="D94" s="50">
        <v>42917</v>
      </c>
      <c r="E94" s="40">
        <f t="shared" si="2"/>
        <v>2017</v>
      </c>
      <c r="F94" s="53">
        <v>24999999</v>
      </c>
      <c r="G94" s="43"/>
      <c r="H94" s="44"/>
      <c r="I94" s="90"/>
      <c r="J94" s="90"/>
      <c r="K94" s="90"/>
      <c r="L94" s="44"/>
      <c r="M94" s="44"/>
      <c r="N94" s="44"/>
      <c r="O94" s="46"/>
      <c r="P94" s="37"/>
      <c r="Q94" s="37"/>
    </row>
    <row r="95" spans="1:17" ht="30" customHeight="1" x14ac:dyDescent="0.25">
      <c r="A95" s="38" t="s">
        <v>126</v>
      </c>
      <c r="B95" s="39" t="s">
        <v>33</v>
      </c>
      <c r="C95" s="40"/>
      <c r="D95" s="50">
        <v>42917</v>
      </c>
      <c r="E95" s="40">
        <f t="shared" si="2"/>
        <v>2017</v>
      </c>
      <c r="F95" s="53">
        <v>14500000</v>
      </c>
      <c r="G95" s="43"/>
      <c r="H95" s="44"/>
      <c r="I95" s="90"/>
      <c r="J95" s="90"/>
      <c r="K95" s="90"/>
      <c r="L95" s="44"/>
      <c r="M95" s="44"/>
      <c r="N95" s="44"/>
      <c r="O95" s="46"/>
      <c r="P95" s="37"/>
      <c r="Q95" s="37"/>
    </row>
    <row r="96" spans="1:17" ht="30" customHeight="1" x14ac:dyDescent="0.25">
      <c r="A96" s="38" t="s">
        <v>127</v>
      </c>
      <c r="B96" s="39" t="s">
        <v>20</v>
      </c>
      <c r="C96" s="40"/>
      <c r="D96" s="50">
        <v>42903</v>
      </c>
      <c r="E96" s="40">
        <f t="shared" si="2"/>
        <v>2017</v>
      </c>
      <c r="F96" s="53">
        <v>6000000</v>
      </c>
      <c r="G96" s="43"/>
      <c r="H96" s="44"/>
      <c r="I96" s="90"/>
      <c r="J96" s="90"/>
      <c r="K96" s="90"/>
      <c r="L96" s="44"/>
      <c r="M96" s="44"/>
      <c r="N96" s="44"/>
      <c r="O96" s="46"/>
      <c r="P96" s="37"/>
      <c r="Q96" s="37"/>
    </row>
    <row r="97" spans="1:17" ht="30" customHeight="1" x14ac:dyDescent="0.25">
      <c r="A97" s="38" t="s">
        <v>128</v>
      </c>
      <c r="B97" s="39" t="s">
        <v>69</v>
      </c>
      <c r="C97" s="40"/>
      <c r="D97" s="50">
        <v>42903</v>
      </c>
      <c r="E97" s="40">
        <f t="shared" si="2"/>
        <v>2017</v>
      </c>
      <c r="F97" s="53">
        <v>5600000</v>
      </c>
      <c r="G97" s="43"/>
      <c r="H97" s="44"/>
      <c r="I97" s="90"/>
      <c r="J97" s="90"/>
      <c r="K97" s="90"/>
      <c r="L97" s="44"/>
      <c r="M97" s="44"/>
      <c r="N97" s="44"/>
      <c r="O97" s="46"/>
      <c r="P97" s="37"/>
      <c r="Q97" s="37"/>
    </row>
    <row r="98" spans="1:17" ht="30" customHeight="1" x14ac:dyDescent="0.25">
      <c r="A98" s="38" t="s">
        <v>129</v>
      </c>
      <c r="B98" s="39" t="s">
        <v>20</v>
      </c>
      <c r="C98" s="40"/>
      <c r="D98" s="50">
        <v>42872</v>
      </c>
      <c r="E98" s="40">
        <f t="shared" si="2"/>
        <v>2017</v>
      </c>
      <c r="F98" s="53">
        <v>25250000</v>
      </c>
      <c r="G98" s="43"/>
      <c r="H98" s="44"/>
      <c r="I98" s="90"/>
      <c r="J98" s="90"/>
      <c r="K98" s="90"/>
      <c r="L98" s="44"/>
      <c r="M98" s="44"/>
      <c r="N98" s="44"/>
      <c r="O98" s="46"/>
      <c r="P98" s="37"/>
      <c r="Q98" s="37"/>
    </row>
    <row r="99" spans="1:17" ht="30" customHeight="1" x14ac:dyDescent="0.25">
      <c r="A99" s="38" t="s">
        <v>130</v>
      </c>
      <c r="B99" s="39" t="s">
        <v>117</v>
      </c>
      <c r="C99" s="40"/>
      <c r="D99" s="50">
        <v>42872</v>
      </c>
      <c r="E99" s="40">
        <f t="shared" si="2"/>
        <v>2017</v>
      </c>
      <c r="F99" s="53">
        <v>52000000</v>
      </c>
      <c r="G99" s="43"/>
      <c r="H99" s="44"/>
      <c r="I99" s="90"/>
      <c r="J99" s="90"/>
      <c r="K99" s="90"/>
      <c r="L99" s="44"/>
      <c r="M99" s="44"/>
      <c r="N99" s="44"/>
      <c r="O99" s="46"/>
      <c r="P99" s="37"/>
      <c r="Q99" s="37"/>
    </row>
    <row r="100" spans="1:17" ht="30" customHeight="1" x14ac:dyDescent="0.25">
      <c r="A100" s="38" t="s">
        <v>131</v>
      </c>
      <c r="B100" s="39" t="s">
        <v>20</v>
      </c>
      <c r="C100" s="40"/>
      <c r="D100" s="50">
        <v>42842</v>
      </c>
      <c r="E100" s="40">
        <f t="shared" si="2"/>
        <v>2017</v>
      </c>
      <c r="F100" s="53">
        <v>42000000</v>
      </c>
      <c r="G100" s="43"/>
      <c r="H100" s="44"/>
      <c r="I100" s="90"/>
      <c r="J100" s="90"/>
      <c r="K100" s="90"/>
      <c r="L100" s="44"/>
      <c r="M100" s="44"/>
      <c r="N100" s="44"/>
      <c r="O100" s="46"/>
      <c r="P100" s="37"/>
      <c r="Q100" s="37"/>
    </row>
    <row r="101" spans="1:17" ht="30" customHeight="1" x14ac:dyDescent="0.25">
      <c r="A101" s="38" t="s">
        <v>132</v>
      </c>
      <c r="B101" s="39" t="s">
        <v>36</v>
      </c>
      <c r="C101" s="40"/>
      <c r="D101" s="50">
        <v>42783</v>
      </c>
      <c r="E101" s="40">
        <f t="shared" si="2"/>
        <v>2017</v>
      </c>
      <c r="F101" s="53">
        <v>8650000</v>
      </c>
      <c r="G101" s="43"/>
      <c r="H101" s="44"/>
      <c r="I101" s="90"/>
      <c r="J101" s="90"/>
      <c r="K101" s="90"/>
      <c r="L101" s="44"/>
      <c r="M101" s="44"/>
      <c r="N101" s="44"/>
      <c r="O101" s="46"/>
      <c r="P101" s="37"/>
      <c r="Q101" s="37"/>
    </row>
    <row r="102" spans="1:17" ht="30" customHeight="1" x14ac:dyDescent="0.25">
      <c r="A102" s="38" t="s">
        <v>133</v>
      </c>
      <c r="B102" s="39" t="s">
        <v>134</v>
      </c>
      <c r="C102" s="40"/>
      <c r="D102" s="50">
        <v>42736</v>
      </c>
      <c r="E102" s="40">
        <f t="shared" si="2"/>
        <v>2017</v>
      </c>
      <c r="F102" s="53">
        <v>36000000</v>
      </c>
      <c r="G102" s="43"/>
      <c r="H102" s="44"/>
      <c r="I102" s="90"/>
      <c r="J102" s="90"/>
      <c r="K102" s="90"/>
      <c r="L102" s="44"/>
      <c r="M102" s="44"/>
      <c r="N102" s="44"/>
      <c r="O102" s="46"/>
      <c r="P102" s="37"/>
      <c r="Q102" s="37"/>
    </row>
    <row r="103" spans="1:17" ht="30" customHeight="1" x14ac:dyDescent="0.25">
      <c r="A103" s="38" t="s">
        <v>135</v>
      </c>
      <c r="B103" s="39" t="s">
        <v>103</v>
      </c>
      <c r="C103" s="40"/>
      <c r="D103" s="50">
        <v>42736</v>
      </c>
      <c r="E103" s="40">
        <f t="shared" si="2"/>
        <v>2017</v>
      </c>
      <c r="F103" s="53">
        <v>26000000</v>
      </c>
      <c r="G103" s="43"/>
      <c r="H103" s="44"/>
      <c r="I103" s="90"/>
      <c r="J103" s="90"/>
      <c r="K103" s="90"/>
      <c r="L103" s="44"/>
      <c r="M103" s="44"/>
      <c r="N103" s="44"/>
      <c r="O103" s="46"/>
      <c r="P103" s="37"/>
      <c r="Q103" s="37"/>
    </row>
    <row r="104" spans="1:17" ht="30" customHeight="1" x14ac:dyDescent="0.25">
      <c r="A104" s="38" t="s">
        <v>136</v>
      </c>
      <c r="B104" s="39" t="s">
        <v>22</v>
      </c>
      <c r="C104" s="40"/>
      <c r="D104" s="50">
        <v>42705</v>
      </c>
      <c r="E104" s="40">
        <f t="shared" si="2"/>
        <v>2016</v>
      </c>
      <c r="F104" s="53">
        <v>13800001</v>
      </c>
      <c r="G104" s="43"/>
      <c r="H104" s="44"/>
      <c r="I104" s="90"/>
      <c r="J104" s="90"/>
      <c r="K104" s="90"/>
      <c r="L104" s="44"/>
      <c r="M104" s="44"/>
      <c r="N104" s="44"/>
      <c r="O104" s="46"/>
      <c r="P104" s="37"/>
      <c r="Q104" s="37"/>
    </row>
    <row r="105" spans="1:17" ht="30" customHeight="1" x14ac:dyDescent="0.25">
      <c r="A105" s="38" t="s">
        <v>137</v>
      </c>
      <c r="B105" s="39" t="s">
        <v>103</v>
      </c>
      <c r="C105" s="40"/>
      <c r="D105" s="50">
        <v>42629</v>
      </c>
      <c r="E105" s="40">
        <f t="shared" si="2"/>
        <v>2016</v>
      </c>
      <c r="F105" s="53">
        <v>86000000</v>
      </c>
      <c r="G105" s="43"/>
      <c r="H105" s="44"/>
      <c r="I105" s="90"/>
      <c r="J105" s="90"/>
      <c r="K105" s="90"/>
      <c r="L105" s="44"/>
      <c r="M105" s="44"/>
      <c r="N105" s="44"/>
      <c r="O105" s="46"/>
      <c r="P105" s="37"/>
      <c r="Q105" s="37"/>
    </row>
    <row r="106" spans="1:17" ht="30" customHeight="1" x14ac:dyDescent="0.25">
      <c r="A106" s="38" t="s">
        <v>138</v>
      </c>
      <c r="B106" s="39" t="s">
        <v>17</v>
      </c>
      <c r="C106" s="40"/>
      <c r="D106" s="50">
        <v>42629</v>
      </c>
      <c r="E106" s="40">
        <f t="shared" si="2"/>
        <v>2016</v>
      </c>
      <c r="F106" s="53">
        <v>73000000</v>
      </c>
      <c r="G106" s="43"/>
      <c r="H106" s="44"/>
      <c r="I106" s="90"/>
      <c r="J106" s="90"/>
      <c r="K106" s="90"/>
      <c r="L106" s="44"/>
      <c r="M106" s="44"/>
      <c r="N106" s="44"/>
      <c r="O106" s="46"/>
      <c r="P106" s="37"/>
      <c r="Q106" s="37"/>
    </row>
    <row r="107" spans="1:17" ht="30" customHeight="1" x14ac:dyDescent="0.25">
      <c r="A107" s="38" t="s">
        <v>64</v>
      </c>
      <c r="B107" s="39" t="s">
        <v>65</v>
      </c>
      <c r="C107" s="40"/>
      <c r="D107" s="50">
        <v>42552</v>
      </c>
      <c r="E107" s="40">
        <f t="shared" si="2"/>
        <v>2016</v>
      </c>
      <c r="F107" s="53">
        <v>40000000</v>
      </c>
      <c r="G107" s="43"/>
      <c r="H107" s="44"/>
      <c r="I107" s="90"/>
      <c r="J107" s="90"/>
      <c r="K107" s="90"/>
      <c r="L107" s="44"/>
      <c r="M107" s="44"/>
      <c r="N107" s="44"/>
      <c r="O107" s="46"/>
      <c r="P107" s="37"/>
      <c r="Q107" s="37"/>
    </row>
    <row r="108" spans="1:17" ht="30" customHeight="1" x14ac:dyDescent="0.25">
      <c r="A108" s="38" t="s">
        <v>139</v>
      </c>
      <c r="B108" s="39" t="s">
        <v>20</v>
      </c>
      <c r="C108" s="40"/>
      <c r="D108" s="50">
        <v>42552</v>
      </c>
      <c r="E108" s="40">
        <f t="shared" si="2"/>
        <v>2016</v>
      </c>
      <c r="F108" s="53">
        <v>6850000</v>
      </c>
      <c r="G108" s="43"/>
      <c r="H108" s="44"/>
      <c r="I108" s="90"/>
      <c r="J108" s="90"/>
      <c r="K108" s="90"/>
      <c r="L108" s="44"/>
      <c r="M108" s="44"/>
      <c r="N108" s="44"/>
      <c r="O108" s="46"/>
      <c r="P108" s="37"/>
      <c r="Q108" s="37"/>
    </row>
    <row r="109" spans="1:17" ht="30" customHeight="1" x14ac:dyDescent="0.25">
      <c r="A109" s="38" t="s">
        <v>140</v>
      </c>
      <c r="B109" s="39" t="s">
        <v>20</v>
      </c>
      <c r="C109" s="40"/>
      <c r="D109" s="50">
        <v>42537</v>
      </c>
      <c r="E109" s="40">
        <f t="shared" si="2"/>
        <v>2016</v>
      </c>
      <c r="F109" s="53">
        <v>3500000</v>
      </c>
      <c r="G109" s="43"/>
      <c r="H109" s="44"/>
      <c r="I109" s="90"/>
      <c r="J109" s="90"/>
      <c r="K109" s="90"/>
      <c r="L109" s="44"/>
      <c r="M109" s="44"/>
      <c r="N109" s="44"/>
      <c r="O109" s="46"/>
      <c r="P109" s="37"/>
      <c r="Q109" s="37"/>
    </row>
    <row r="110" spans="1:17" ht="30" customHeight="1" x14ac:dyDescent="0.25">
      <c r="A110" s="38" t="s">
        <v>141</v>
      </c>
      <c r="B110" s="39" t="s">
        <v>103</v>
      </c>
      <c r="C110" s="40"/>
      <c r="D110" s="50">
        <v>42430</v>
      </c>
      <c r="E110" s="40">
        <f t="shared" si="2"/>
        <v>2016</v>
      </c>
      <c r="F110" s="53">
        <v>8500000</v>
      </c>
      <c r="G110" s="43"/>
      <c r="H110" s="44"/>
      <c r="I110" s="90"/>
      <c r="J110" s="90"/>
      <c r="K110" s="90"/>
      <c r="L110" s="44"/>
      <c r="M110" s="44"/>
      <c r="N110" s="44"/>
      <c r="O110" s="46"/>
      <c r="P110" s="37"/>
      <c r="Q110" s="37"/>
    </row>
    <row r="111" spans="1:17" ht="30" customHeight="1" x14ac:dyDescent="0.25">
      <c r="A111" s="38" t="s">
        <v>142</v>
      </c>
      <c r="B111" s="39"/>
      <c r="C111" s="40"/>
      <c r="D111" s="50">
        <v>42430</v>
      </c>
      <c r="E111" s="40">
        <f t="shared" si="2"/>
        <v>2016</v>
      </c>
      <c r="F111" s="53">
        <v>25500000</v>
      </c>
      <c r="G111" s="43"/>
      <c r="H111" s="44"/>
      <c r="I111" s="90"/>
      <c r="J111" s="90"/>
      <c r="K111" s="90"/>
      <c r="L111" s="44"/>
      <c r="M111" s="44"/>
      <c r="N111" s="44"/>
      <c r="O111" s="46"/>
      <c r="P111" s="37"/>
      <c r="Q111" s="37"/>
    </row>
    <row r="112" spans="1:17" ht="30" customHeight="1" x14ac:dyDescent="0.25">
      <c r="A112" s="38" t="s">
        <v>143</v>
      </c>
      <c r="B112" s="39" t="s">
        <v>20</v>
      </c>
      <c r="C112" s="40"/>
      <c r="D112" s="50">
        <v>42416</v>
      </c>
      <c r="E112" s="40">
        <f t="shared" si="2"/>
        <v>2016</v>
      </c>
      <c r="F112" s="53">
        <v>7125000</v>
      </c>
      <c r="G112" s="43"/>
      <c r="H112" s="44"/>
      <c r="I112" s="90"/>
      <c r="J112" s="90"/>
      <c r="K112" s="90"/>
      <c r="L112" s="44"/>
      <c r="M112" s="44"/>
      <c r="N112" s="44"/>
      <c r="O112" s="46"/>
      <c r="P112" s="37"/>
      <c r="Q112" s="37"/>
    </row>
    <row r="113" spans="1:17" ht="30" customHeight="1" x14ac:dyDescent="0.25">
      <c r="A113" s="38" t="s">
        <v>144</v>
      </c>
      <c r="B113" s="39"/>
      <c r="C113" s="40"/>
      <c r="D113" s="50">
        <v>42385</v>
      </c>
      <c r="E113" s="40">
        <f t="shared" si="2"/>
        <v>2016</v>
      </c>
      <c r="F113" s="53">
        <v>3000000</v>
      </c>
      <c r="G113" s="43"/>
      <c r="H113" s="44"/>
      <c r="I113" s="90"/>
      <c r="J113" s="90"/>
      <c r="K113" s="90"/>
      <c r="L113" s="44"/>
      <c r="M113" s="44"/>
      <c r="N113" s="44"/>
      <c r="O113" s="46"/>
      <c r="P113" s="37"/>
      <c r="Q113" s="37"/>
    </row>
    <row r="114" spans="1:17" ht="30" customHeight="1" x14ac:dyDescent="0.25">
      <c r="A114" s="38" t="s">
        <v>145</v>
      </c>
      <c r="B114" s="39" t="s">
        <v>65</v>
      </c>
      <c r="C114" s="40"/>
      <c r="D114" s="50">
        <v>42384</v>
      </c>
      <c r="E114" s="40">
        <f t="shared" si="2"/>
        <v>2016</v>
      </c>
      <c r="F114" s="53">
        <v>7595000</v>
      </c>
      <c r="G114" s="43"/>
      <c r="H114" s="44"/>
      <c r="I114" s="90"/>
      <c r="J114" s="90"/>
      <c r="K114" s="90"/>
      <c r="L114" s="44"/>
      <c r="M114" s="44"/>
      <c r="N114" s="44"/>
      <c r="O114" s="46"/>
      <c r="P114" s="37"/>
      <c r="Q114" s="37"/>
    </row>
    <row r="115" spans="1:17" ht="30" customHeight="1" x14ac:dyDescent="0.25">
      <c r="A115" s="38" t="s">
        <v>125</v>
      </c>
      <c r="B115" s="39" t="s">
        <v>103</v>
      </c>
      <c r="C115" s="40"/>
      <c r="D115" s="50">
        <v>42339</v>
      </c>
      <c r="E115" s="40">
        <f t="shared" si="2"/>
        <v>2015</v>
      </c>
      <c r="F115" s="53">
        <v>17725000</v>
      </c>
      <c r="G115" s="43"/>
      <c r="H115" s="44"/>
      <c r="I115" s="90"/>
      <c r="J115" s="90"/>
      <c r="K115" s="90"/>
      <c r="L115" s="44"/>
      <c r="M115" s="44"/>
      <c r="N115" s="44"/>
      <c r="O115" s="46"/>
      <c r="P115" s="37"/>
      <c r="Q115" s="37"/>
    </row>
    <row r="116" spans="1:17" ht="30" customHeight="1" x14ac:dyDescent="0.25">
      <c r="A116" s="38" t="s">
        <v>146</v>
      </c>
      <c r="B116" s="39" t="s">
        <v>20</v>
      </c>
      <c r="C116" s="40"/>
      <c r="D116" s="50">
        <v>42323</v>
      </c>
      <c r="E116" s="40">
        <f t="shared" si="2"/>
        <v>2015</v>
      </c>
      <c r="F116" s="53">
        <v>2500000</v>
      </c>
      <c r="G116" s="43"/>
      <c r="H116" s="44"/>
      <c r="I116" s="90"/>
      <c r="J116" s="90"/>
      <c r="K116" s="90"/>
      <c r="L116" s="44"/>
      <c r="M116" s="44"/>
      <c r="N116" s="44"/>
      <c r="O116" s="46"/>
      <c r="P116" s="37"/>
      <c r="Q116" s="37"/>
    </row>
    <row r="117" spans="1:17" ht="30" customHeight="1" x14ac:dyDescent="0.25">
      <c r="A117" s="38" t="s">
        <v>147</v>
      </c>
      <c r="B117" s="39" t="s">
        <v>117</v>
      </c>
      <c r="C117" s="40"/>
      <c r="D117" s="50">
        <v>42323</v>
      </c>
      <c r="E117" s="40">
        <f t="shared" si="2"/>
        <v>2015</v>
      </c>
      <c r="F117" s="53">
        <v>23000000</v>
      </c>
      <c r="G117" s="43"/>
      <c r="H117" s="44"/>
      <c r="I117" s="90"/>
      <c r="J117" s="90"/>
      <c r="K117" s="90"/>
      <c r="L117" s="44"/>
      <c r="M117" s="44"/>
      <c r="N117" s="44"/>
      <c r="O117" s="46"/>
      <c r="P117" s="37"/>
      <c r="Q117" s="37"/>
    </row>
    <row r="118" spans="1:17" ht="30" customHeight="1" x14ac:dyDescent="0.25">
      <c r="A118" s="38" t="s">
        <v>148</v>
      </c>
      <c r="B118" s="39" t="s">
        <v>149</v>
      </c>
      <c r="C118" s="40"/>
      <c r="D118" s="50">
        <v>42309</v>
      </c>
      <c r="E118" s="40">
        <f t="shared" si="2"/>
        <v>2015</v>
      </c>
      <c r="F118" s="53">
        <v>16380000</v>
      </c>
      <c r="G118" s="43"/>
      <c r="H118" s="44"/>
      <c r="I118" s="90"/>
      <c r="J118" s="90"/>
      <c r="K118" s="90"/>
      <c r="L118" s="44"/>
      <c r="M118" s="44"/>
      <c r="N118" s="44"/>
      <c r="O118" s="46"/>
      <c r="P118" s="37"/>
      <c r="Q118" s="37"/>
    </row>
    <row r="119" spans="1:17" ht="30" customHeight="1" x14ac:dyDescent="0.25">
      <c r="A119" s="38" t="s">
        <v>150</v>
      </c>
      <c r="B119" s="39"/>
      <c r="C119" s="40"/>
      <c r="D119" s="50">
        <v>42305</v>
      </c>
      <c r="E119" s="40">
        <f t="shared" si="2"/>
        <v>2015</v>
      </c>
      <c r="F119" s="53">
        <v>8300000</v>
      </c>
      <c r="G119" s="43"/>
      <c r="H119" s="44"/>
      <c r="I119" s="90"/>
      <c r="J119" s="90"/>
      <c r="K119" s="90"/>
      <c r="L119" s="44"/>
      <c r="M119" s="44"/>
      <c r="N119" s="44"/>
      <c r="O119" s="46"/>
      <c r="P119" s="37"/>
      <c r="Q119" s="37"/>
    </row>
    <row r="120" spans="1:17" ht="30" customHeight="1" x14ac:dyDescent="0.25">
      <c r="A120" s="38" t="s">
        <v>151</v>
      </c>
      <c r="B120" s="39" t="s">
        <v>152</v>
      </c>
      <c r="C120" s="40"/>
      <c r="D120" s="50">
        <v>42303</v>
      </c>
      <c r="E120" s="40">
        <f t="shared" si="2"/>
        <v>2015</v>
      </c>
      <c r="F120" s="53">
        <v>7100000</v>
      </c>
      <c r="G120" s="43"/>
      <c r="H120" s="44"/>
      <c r="I120" s="90"/>
      <c r="J120" s="90"/>
      <c r="K120" s="90"/>
      <c r="L120" s="44"/>
      <c r="M120" s="44"/>
      <c r="N120" s="44"/>
      <c r="O120" s="46"/>
      <c r="P120" s="37"/>
      <c r="Q120" s="37"/>
    </row>
    <row r="121" spans="1:17" ht="30" customHeight="1" x14ac:dyDescent="0.25">
      <c r="A121" s="38" t="s">
        <v>153</v>
      </c>
      <c r="B121" s="39" t="s">
        <v>17</v>
      </c>
      <c r="C121" s="40"/>
      <c r="D121" s="50">
        <v>42292</v>
      </c>
      <c r="E121" s="40">
        <f t="shared" si="2"/>
        <v>2015</v>
      </c>
      <c r="F121" s="53">
        <v>18850000</v>
      </c>
      <c r="G121" s="43"/>
      <c r="H121" s="44"/>
      <c r="I121" s="90"/>
      <c r="J121" s="90"/>
      <c r="K121" s="90"/>
      <c r="L121" s="44"/>
      <c r="M121" s="44"/>
      <c r="N121" s="44"/>
      <c r="O121" s="46"/>
      <c r="P121" s="37"/>
      <c r="Q121" s="37"/>
    </row>
    <row r="122" spans="1:17" ht="30" customHeight="1" x14ac:dyDescent="0.25">
      <c r="A122" s="38" t="s">
        <v>154</v>
      </c>
      <c r="B122" s="39"/>
      <c r="C122" s="40"/>
      <c r="D122" s="50">
        <v>42231</v>
      </c>
      <c r="E122" s="40">
        <f t="shared" si="2"/>
        <v>2015</v>
      </c>
      <c r="F122" s="53">
        <v>110000000</v>
      </c>
      <c r="G122" s="43"/>
      <c r="H122" s="44"/>
      <c r="I122" s="90"/>
      <c r="J122" s="90"/>
      <c r="K122" s="90"/>
      <c r="L122" s="44"/>
      <c r="M122" s="44"/>
      <c r="N122" s="44"/>
      <c r="O122" s="46"/>
      <c r="P122" s="37"/>
      <c r="Q122" s="37"/>
    </row>
    <row r="123" spans="1:17" ht="30" customHeight="1" x14ac:dyDescent="0.25">
      <c r="A123" s="38" t="s">
        <v>155</v>
      </c>
      <c r="B123" s="39" t="s">
        <v>117</v>
      </c>
      <c r="C123" s="40"/>
      <c r="D123" s="50">
        <v>42231</v>
      </c>
      <c r="E123" s="40">
        <f t="shared" si="2"/>
        <v>2015</v>
      </c>
      <c r="F123" s="53">
        <v>3600000</v>
      </c>
      <c r="G123" s="43"/>
      <c r="H123" s="44"/>
      <c r="I123" s="90"/>
      <c r="J123" s="90"/>
      <c r="K123" s="90"/>
      <c r="L123" s="44"/>
      <c r="M123" s="44"/>
      <c r="N123" s="44"/>
      <c r="O123" s="46"/>
      <c r="P123" s="37"/>
      <c r="Q123" s="37"/>
    </row>
    <row r="124" spans="1:17" ht="30" customHeight="1" x14ac:dyDescent="0.25">
      <c r="A124" s="38" t="s">
        <v>156</v>
      </c>
      <c r="B124" s="39"/>
      <c r="C124" s="40"/>
      <c r="D124" s="50">
        <v>42200</v>
      </c>
      <c r="E124" s="40">
        <f t="shared" si="2"/>
        <v>2015</v>
      </c>
      <c r="F124" s="53">
        <v>78000000</v>
      </c>
      <c r="G124" s="43"/>
      <c r="H124" s="44"/>
      <c r="I124" s="90"/>
      <c r="J124" s="90"/>
      <c r="K124" s="90"/>
      <c r="L124" s="44"/>
      <c r="M124" s="44"/>
      <c r="N124" s="44"/>
      <c r="O124" s="46"/>
      <c r="P124" s="37"/>
      <c r="Q124" s="37"/>
    </row>
    <row r="125" spans="1:17" ht="30" customHeight="1" x14ac:dyDescent="0.25">
      <c r="A125" s="38" t="s">
        <v>157</v>
      </c>
      <c r="B125" s="39"/>
      <c r="C125" s="40"/>
      <c r="D125" s="50">
        <v>42200</v>
      </c>
      <c r="E125" s="40">
        <f t="shared" si="2"/>
        <v>2015</v>
      </c>
      <c r="F125" s="53">
        <v>18500000</v>
      </c>
      <c r="G125" s="43"/>
      <c r="H125" s="44"/>
      <c r="I125" s="90"/>
      <c r="J125" s="90"/>
      <c r="K125" s="90"/>
      <c r="L125" s="44"/>
      <c r="M125" s="44"/>
      <c r="N125" s="44"/>
      <c r="O125" s="46"/>
      <c r="P125" s="37"/>
      <c r="Q125" s="37"/>
    </row>
    <row r="126" spans="1:17" ht="30" customHeight="1" x14ac:dyDescent="0.25">
      <c r="A126" s="38" t="s">
        <v>158</v>
      </c>
      <c r="B126" s="39" t="s">
        <v>17</v>
      </c>
      <c r="C126" s="40"/>
      <c r="D126" s="50">
        <v>42170</v>
      </c>
      <c r="E126" s="40">
        <f t="shared" si="2"/>
        <v>2015</v>
      </c>
      <c r="F126" s="53">
        <v>10600000</v>
      </c>
      <c r="G126" s="43"/>
      <c r="H126" s="44"/>
      <c r="I126" s="90"/>
      <c r="J126" s="90"/>
      <c r="K126" s="90"/>
      <c r="L126" s="44"/>
      <c r="M126" s="44"/>
      <c r="N126" s="44"/>
      <c r="O126" s="46"/>
      <c r="P126" s="37"/>
      <c r="Q126" s="37"/>
    </row>
    <row r="127" spans="1:17" ht="30" customHeight="1" x14ac:dyDescent="0.25">
      <c r="A127" s="38" t="s">
        <v>159</v>
      </c>
      <c r="B127" s="39"/>
      <c r="C127" s="40"/>
      <c r="D127" s="50">
        <v>42170</v>
      </c>
      <c r="E127" s="40">
        <f t="shared" si="2"/>
        <v>2015</v>
      </c>
      <c r="F127" s="53">
        <v>3900000</v>
      </c>
      <c r="G127" s="43"/>
      <c r="H127" s="44"/>
      <c r="I127" s="90"/>
      <c r="J127" s="90"/>
      <c r="K127" s="90"/>
      <c r="L127" s="44"/>
      <c r="M127" s="44"/>
      <c r="N127" s="44"/>
      <c r="O127" s="46"/>
      <c r="P127" s="37"/>
      <c r="Q127" s="37"/>
    </row>
    <row r="128" spans="1:17" ht="30" customHeight="1" x14ac:dyDescent="0.25">
      <c r="A128" s="38" t="s">
        <v>66</v>
      </c>
      <c r="B128" s="39" t="s">
        <v>20</v>
      </c>
      <c r="C128" s="40"/>
      <c r="D128" s="50">
        <v>42139</v>
      </c>
      <c r="E128" s="40">
        <f t="shared" si="2"/>
        <v>2015</v>
      </c>
      <c r="F128" s="53">
        <v>50000000</v>
      </c>
      <c r="G128" s="43"/>
      <c r="H128" s="44"/>
      <c r="I128" s="90"/>
      <c r="J128" s="90"/>
      <c r="K128" s="90"/>
      <c r="L128" s="44"/>
      <c r="M128" s="44"/>
      <c r="N128" s="44"/>
      <c r="O128" s="46"/>
      <c r="P128" s="37"/>
      <c r="Q128" s="37"/>
    </row>
    <row r="129" spans="1:17" ht="30" customHeight="1" x14ac:dyDescent="0.25">
      <c r="A129" s="38" t="s">
        <v>160</v>
      </c>
      <c r="B129" s="39"/>
      <c r="C129" s="40"/>
      <c r="D129" s="50">
        <v>42139</v>
      </c>
      <c r="E129" s="40">
        <f t="shared" si="2"/>
        <v>2015</v>
      </c>
      <c r="F129" s="53">
        <v>3850000</v>
      </c>
      <c r="G129" s="43"/>
      <c r="H129" s="44"/>
      <c r="I129" s="90"/>
      <c r="J129" s="90"/>
      <c r="K129" s="90"/>
      <c r="L129" s="44"/>
      <c r="M129" s="44"/>
      <c r="N129" s="44"/>
      <c r="O129" s="46"/>
      <c r="P129" s="37"/>
      <c r="Q129" s="37"/>
    </row>
    <row r="130" spans="1:17" ht="30" customHeight="1" x14ac:dyDescent="0.25">
      <c r="A130" s="38" t="s">
        <v>161</v>
      </c>
      <c r="B130" s="39" t="s">
        <v>20</v>
      </c>
      <c r="C130" s="40"/>
      <c r="D130" s="50">
        <v>42095</v>
      </c>
      <c r="E130" s="40">
        <f t="shared" si="2"/>
        <v>2015</v>
      </c>
      <c r="F130" s="53">
        <v>27000000</v>
      </c>
      <c r="G130" s="43"/>
      <c r="H130" s="44"/>
      <c r="I130" s="90"/>
      <c r="J130" s="90"/>
      <c r="K130" s="90"/>
      <c r="L130" s="44"/>
      <c r="M130" s="44"/>
      <c r="N130" s="44"/>
      <c r="O130" s="46"/>
      <c r="P130" s="37"/>
      <c r="Q130" s="37"/>
    </row>
    <row r="131" spans="1:17" ht="30" customHeight="1" x14ac:dyDescent="0.25">
      <c r="A131" s="38" t="s">
        <v>162</v>
      </c>
      <c r="B131" s="39"/>
      <c r="C131" s="40"/>
      <c r="D131" s="50">
        <v>42095</v>
      </c>
      <c r="E131" s="40">
        <f t="shared" si="2"/>
        <v>2015</v>
      </c>
      <c r="F131" s="53">
        <v>33800000</v>
      </c>
      <c r="G131" s="43"/>
      <c r="H131" s="44"/>
      <c r="I131" s="90"/>
      <c r="J131" s="90"/>
      <c r="K131" s="90"/>
      <c r="L131" s="44"/>
      <c r="M131" s="44"/>
      <c r="N131" s="44"/>
      <c r="O131" s="46"/>
      <c r="P131" s="37"/>
      <c r="Q131" s="37"/>
    </row>
    <row r="132" spans="1:17" ht="30" customHeight="1" x14ac:dyDescent="0.25">
      <c r="A132" s="38" t="s">
        <v>163</v>
      </c>
      <c r="B132" s="39"/>
      <c r="C132" s="40"/>
      <c r="D132" s="50">
        <v>42064</v>
      </c>
      <c r="E132" s="40">
        <f t="shared" si="2"/>
        <v>2015</v>
      </c>
      <c r="F132" s="53">
        <v>4025000</v>
      </c>
      <c r="G132" s="43"/>
      <c r="H132" s="44"/>
      <c r="I132" s="90"/>
      <c r="J132" s="90"/>
      <c r="K132" s="90"/>
      <c r="L132" s="44"/>
      <c r="M132" s="44"/>
      <c r="N132" s="44"/>
      <c r="O132" s="46"/>
      <c r="P132" s="37"/>
      <c r="Q132" s="37"/>
    </row>
    <row r="133" spans="1:17" ht="30" customHeight="1" x14ac:dyDescent="0.25">
      <c r="A133" s="38" t="s">
        <v>164</v>
      </c>
      <c r="B133" s="39" t="s">
        <v>165</v>
      </c>
      <c r="C133" s="40"/>
      <c r="D133" s="50">
        <v>42050</v>
      </c>
      <c r="E133" s="40">
        <f t="shared" ref="E133:E196" si="3">YEAR(D133)</f>
        <v>2015</v>
      </c>
      <c r="F133" s="53">
        <v>29450000</v>
      </c>
      <c r="G133" s="43"/>
      <c r="H133" s="44"/>
      <c r="I133" s="90"/>
      <c r="J133" s="90"/>
      <c r="K133" s="90"/>
      <c r="L133" s="44"/>
      <c r="M133" s="44"/>
      <c r="N133" s="44"/>
      <c r="O133" s="46"/>
      <c r="P133" s="37"/>
      <c r="Q133" s="37"/>
    </row>
    <row r="134" spans="1:17" ht="30" customHeight="1" x14ac:dyDescent="0.25">
      <c r="A134" s="38" t="s">
        <v>166</v>
      </c>
      <c r="B134" s="39" t="s">
        <v>20</v>
      </c>
      <c r="C134" s="40"/>
      <c r="D134" s="50">
        <v>42050</v>
      </c>
      <c r="E134" s="40">
        <f t="shared" si="3"/>
        <v>2015</v>
      </c>
      <c r="F134" s="53">
        <v>28500000</v>
      </c>
      <c r="G134" s="43"/>
      <c r="H134" s="44"/>
      <c r="I134" s="90"/>
      <c r="J134" s="90"/>
      <c r="K134" s="90"/>
      <c r="L134" s="44"/>
      <c r="M134" s="44"/>
      <c r="N134" s="44"/>
      <c r="O134" s="46"/>
      <c r="P134" s="37"/>
      <c r="Q134" s="37"/>
    </row>
    <row r="135" spans="1:17" ht="30" customHeight="1" x14ac:dyDescent="0.25">
      <c r="A135" s="38" t="s">
        <v>167</v>
      </c>
      <c r="B135" s="39" t="s">
        <v>117</v>
      </c>
      <c r="C135" s="40"/>
      <c r="D135" s="50">
        <v>42027</v>
      </c>
      <c r="E135" s="40">
        <f t="shared" si="3"/>
        <v>2015</v>
      </c>
      <c r="F135" s="53">
        <v>7321688</v>
      </c>
      <c r="G135" s="43"/>
      <c r="H135" s="44"/>
      <c r="I135" s="90"/>
      <c r="J135" s="90"/>
      <c r="K135" s="90"/>
      <c r="L135" s="44"/>
      <c r="M135" s="44"/>
      <c r="N135" s="44"/>
      <c r="O135" s="46"/>
      <c r="P135" s="37"/>
      <c r="Q135" s="37"/>
    </row>
    <row r="136" spans="1:17" ht="30" customHeight="1" x14ac:dyDescent="0.25">
      <c r="A136" s="38" t="s">
        <v>168</v>
      </c>
      <c r="B136" s="39" t="s">
        <v>17</v>
      </c>
      <c r="C136" s="40"/>
      <c r="D136" s="50">
        <v>42005</v>
      </c>
      <c r="E136" s="40">
        <f t="shared" si="3"/>
        <v>2015</v>
      </c>
      <c r="F136" s="53">
        <v>13600000</v>
      </c>
      <c r="G136" s="43"/>
      <c r="H136" s="44"/>
      <c r="I136" s="90"/>
      <c r="J136" s="90"/>
      <c r="K136" s="90"/>
      <c r="L136" s="44"/>
      <c r="M136" s="44"/>
      <c r="N136" s="44"/>
      <c r="O136" s="46"/>
      <c r="P136" s="37"/>
      <c r="Q136" s="37"/>
    </row>
    <row r="137" spans="1:17" ht="30" customHeight="1" x14ac:dyDescent="0.25">
      <c r="A137" s="38" t="s">
        <v>107</v>
      </c>
      <c r="B137" s="39"/>
      <c r="C137" s="40"/>
      <c r="D137" s="50">
        <v>41987</v>
      </c>
      <c r="E137" s="40">
        <f t="shared" si="3"/>
        <v>2014</v>
      </c>
      <c r="F137" s="53">
        <v>4800000</v>
      </c>
      <c r="G137" s="43"/>
      <c r="H137" s="44"/>
      <c r="I137" s="90"/>
      <c r="J137" s="90"/>
      <c r="K137" s="90"/>
      <c r="L137" s="44"/>
      <c r="M137" s="44"/>
      <c r="N137" s="44"/>
      <c r="O137" s="46"/>
      <c r="P137" s="37"/>
      <c r="Q137" s="37"/>
    </row>
    <row r="138" spans="1:17" ht="30" customHeight="1" x14ac:dyDescent="0.25">
      <c r="A138" s="38" t="s">
        <v>169</v>
      </c>
      <c r="B138" s="39" t="s">
        <v>17</v>
      </c>
      <c r="C138" s="40"/>
      <c r="D138" s="50">
        <v>41974</v>
      </c>
      <c r="E138" s="40">
        <f t="shared" si="3"/>
        <v>2014</v>
      </c>
      <c r="F138" s="53">
        <v>6070000</v>
      </c>
      <c r="G138" s="43"/>
      <c r="H138" s="44"/>
      <c r="I138" s="90"/>
      <c r="J138" s="90"/>
      <c r="K138" s="90"/>
      <c r="L138" s="44"/>
      <c r="M138" s="44"/>
      <c r="N138" s="44"/>
      <c r="O138" s="46"/>
      <c r="P138" s="37"/>
      <c r="Q138" s="37"/>
    </row>
    <row r="139" spans="1:17" ht="30" customHeight="1" x14ac:dyDescent="0.25">
      <c r="A139" s="38" t="s">
        <v>170</v>
      </c>
      <c r="B139" s="39" t="s">
        <v>69</v>
      </c>
      <c r="C139" s="40"/>
      <c r="D139" s="50">
        <v>41957</v>
      </c>
      <c r="E139" s="40">
        <f t="shared" si="3"/>
        <v>2014</v>
      </c>
      <c r="F139" s="53">
        <v>70000000</v>
      </c>
      <c r="G139" s="43"/>
      <c r="H139" s="44"/>
      <c r="I139" s="90"/>
      <c r="J139" s="90"/>
      <c r="K139" s="90"/>
      <c r="L139" s="44"/>
      <c r="M139" s="44"/>
      <c r="N139" s="44"/>
      <c r="O139" s="46"/>
      <c r="P139" s="37"/>
      <c r="Q139" s="37"/>
    </row>
    <row r="140" spans="1:17" ht="30" customHeight="1" x14ac:dyDescent="0.25">
      <c r="A140" s="38" t="s">
        <v>171</v>
      </c>
      <c r="B140" s="39" t="s">
        <v>172</v>
      </c>
      <c r="C140" s="40"/>
      <c r="D140" s="50">
        <v>41926</v>
      </c>
      <c r="E140" s="40">
        <f t="shared" si="3"/>
        <v>2014</v>
      </c>
      <c r="F140" s="53">
        <v>65000000</v>
      </c>
      <c r="G140" s="43"/>
      <c r="H140" s="44"/>
      <c r="I140" s="90"/>
      <c r="J140" s="90"/>
      <c r="K140" s="90"/>
      <c r="L140" s="44"/>
      <c r="M140" s="44"/>
      <c r="N140" s="44"/>
      <c r="O140" s="46"/>
      <c r="P140" s="37"/>
      <c r="Q140" s="37"/>
    </row>
    <row r="141" spans="1:17" ht="30" customHeight="1" x14ac:dyDescent="0.25">
      <c r="A141" s="38" t="s">
        <v>173</v>
      </c>
      <c r="B141" s="39"/>
      <c r="C141" s="40"/>
      <c r="D141" s="50">
        <v>41896</v>
      </c>
      <c r="E141" s="40">
        <f t="shared" si="3"/>
        <v>2014</v>
      </c>
      <c r="F141" s="53">
        <v>2601001</v>
      </c>
      <c r="G141" s="43"/>
      <c r="H141" s="44"/>
      <c r="I141" s="90"/>
      <c r="J141" s="90"/>
      <c r="K141" s="90"/>
      <c r="L141" s="44"/>
      <c r="M141" s="44"/>
      <c r="N141" s="44"/>
      <c r="O141" s="46"/>
      <c r="P141" s="37"/>
      <c r="Q141" s="37"/>
    </row>
    <row r="142" spans="1:17" ht="30" customHeight="1" x14ac:dyDescent="0.25">
      <c r="A142" s="38" t="s">
        <v>174</v>
      </c>
      <c r="B142" s="39" t="s">
        <v>134</v>
      </c>
      <c r="C142" s="40"/>
      <c r="D142" s="50">
        <v>41865</v>
      </c>
      <c r="E142" s="40">
        <f t="shared" si="3"/>
        <v>2014</v>
      </c>
      <c r="F142" s="53">
        <v>50000000</v>
      </c>
      <c r="G142" s="43"/>
      <c r="H142" s="44"/>
      <c r="I142" s="90"/>
      <c r="J142" s="90"/>
      <c r="K142" s="90"/>
      <c r="L142" s="44"/>
      <c r="M142" s="44"/>
      <c r="N142" s="44"/>
      <c r="O142" s="46"/>
      <c r="P142" s="37"/>
      <c r="Q142" s="37"/>
    </row>
    <row r="143" spans="1:17" ht="30" customHeight="1" x14ac:dyDescent="0.25">
      <c r="A143" s="38" t="s">
        <v>175</v>
      </c>
      <c r="B143" s="39" t="s">
        <v>17</v>
      </c>
      <c r="C143" s="40"/>
      <c r="D143" s="50">
        <v>41852</v>
      </c>
      <c r="E143" s="40">
        <f t="shared" si="3"/>
        <v>2014</v>
      </c>
      <c r="F143" s="53">
        <v>4315000</v>
      </c>
      <c r="G143" s="43"/>
      <c r="H143" s="44"/>
      <c r="I143" s="90"/>
      <c r="J143" s="90"/>
      <c r="K143" s="90"/>
      <c r="L143" s="44"/>
      <c r="M143" s="44"/>
      <c r="N143" s="44"/>
      <c r="O143" s="46"/>
      <c r="P143" s="37"/>
      <c r="Q143" s="37"/>
    </row>
    <row r="144" spans="1:17" ht="30" customHeight="1" x14ac:dyDescent="0.25">
      <c r="A144" s="38" t="s">
        <v>176</v>
      </c>
      <c r="B144" s="39"/>
      <c r="C144" s="40"/>
      <c r="D144" s="50">
        <v>41852</v>
      </c>
      <c r="E144" s="40">
        <f t="shared" si="3"/>
        <v>2014</v>
      </c>
      <c r="F144" s="53">
        <v>7350000</v>
      </c>
      <c r="G144" s="43"/>
      <c r="H144" s="44"/>
      <c r="I144" s="90"/>
      <c r="J144" s="90"/>
      <c r="K144" s="90"/>
      <c r="L144" s="44"/>
      <c r="M144" s="44"/>
      <c r="N144" s="44"/>
      <c r="O144" s="46"/>
      <c r="P144" s="37"/>
      <c r="Q144" s="37"/>
    </row>
    <row r="145" spans="1:17" ht="30" customHeight="1" x14ac:dyDescent="0.25">
      <c r="A145" s="38" t="s">
        <v>177</v>
      </c>
      <c r="B145" s="39" t="s">
        <v>178</v>
      </c>
      <c r="C145" s="40"/>
      <c r="D145" s="50">
        <v>41804</v>
      </c>
      <c r="E145" s="40">
        <f t="shared" si="3"/>
        <v>2014</v>
      </c>
      <c r="F145" s="53">
        <v>10600000</v>
      </c>
      <c r="G145" s="43"/>
      <c r="H145" s="44"/>
      <c r="I145" s="90"/>
      <c r="J145" s="90"/>
      <c r="K145" s="90"/>
      <c r="L145" s="44"/>
      <c r="M145" s="44"/>
      <c r="N145" s="44"/>
      <c r="O145" s="46"/>
      <c r="P145" s="37"/>
      <c r="Q145" s="37"/>
    </row>
    <row r="146" spans="1:17" ht="30" customHeight="1" x14ac:dyDescent="0.25">
      <c r="A146" s="38" t="s">
        <v>179</v>
      </c>
      <c r="B146" s="39" t="s">
        <v>22</v>
      </c>
      <c r="C146" s="40"/>
      <c r="D146" s="50">
        <v>41743</v>
      </c>
      <c r="E146" s="40">
        <f t="shared" si="3"/>
        <v>2014</v>
      </c>
      <c r="F146" s="53">
        <v>41050000</v>
      </c>
      <c r="G146" s="43"/>
      <c r="H146" s="44"/>
      <c r="I146" s="90"/>
      <c r="J146" s="90"/>
      <c r="K146" s="90"/>
      <c r="L146" s="44"/>
      <c r="M146" s="44"/>
      <c r="N146" s="44"/>
      <c r="O146" s="46"/>
      <c r="P146" s="37"/>
      <c r="Q146" s="37"/>
    </row>
    <row r="147" spans="1:17" ht="30" customHeight="1" x14ac:dyDescent="0.25">
      <c r="A147" s="38" t="s">
        <v>180</v>
      </c>
      <c r="B147" s="39"/>
      <c r="C147" s="40"/>
      <c r="D147" s="50">
        <v>41712</v>
      </c>
      <c r="E147" s="40">
        <f t="shared" si="3"/>
        <v>2014</v>
      </c>
      <c r="F147" s="53">
        <v>6750000</v>
      </c>
      <c r="G147" s="43"/>
      <c r="H147" s="44"/>
      <c r="I147" s="90"/>
      <c r="J147" s="90"/>
      <c r="K147" s="90"/>
      <c r="L147" s="44"/>
      <c r="M147" s="44"/>
      <c r="N147" s="44"/>
      <c r="O147" s="46"/>
      <c r="P147" s="37"/>
      <c r="Q147" s="37"/>
    </row>
    <row r="148" spans="1:17" ht="30" customHeight="1" x14ac:dyDescent="0.25">
      <c r="A148" s="38" t="s">
        <v>181</v>
      </c>
      <c r="B148" s="39" t="s">
        <v>182</v>
      </c>
      <c r="C148" s="40"/>
      <c r="D148" s="50">
        <v>41712</v>
      </c>
      <c r="E148" s="40">
        <f t="shared" si="3"/>
        <v>2014</v>
      </c>
      <c r="F148" s="53">
        <v>85000000</v>
      </c>
      <c r="G148" s="43"/>
      <c r="H148" s="44"/>
      <c r="I148" s="90"/>
      <c r="J148" s="90"/>
      <c r="K148" s="90"/>
      <c r="L148" s="44"/>
      <c r="M148" s="44"/>
      <c r="N148" s="44"/>
      <c r="O148" s="46"/>
      <c r="P148" s="37"/>
      <c r="Q148" s="37"/>
    </row>
    <row r="149" spans="1:17" ht="30" customHeight="1" x14ac:dyDescent="0.25">
      <c r="A149" s="38" t="s">
        <v>183</v>
      </c>
      <c r="B149" s="39" t="s">
        <v>17</v>
      </c>
      <c r="C149" s="40"/>
      <c r="D149" s="50">
        <v>41653</v>
      </c>
      <c r="E149" s="40">
        <f t="shared" si="3"/>
        <v>2014</v>
      </c>
      <c r="F149" s="53">
        <v>19000000</v>
      </c>
      <c r="G149" s="43"/>
      <c r="H149" s="44"/>
      <c r="I149" s="90"/>
      <c r="J149" s="90"/>
      <c r="K149" s="90"/>
      <c r="L149" s="44"/>
      <c r="M149" s="44"/>
      <c r="N149" s="44"/>
      <c r="O149" s="46"/>
      <c r="P149" s="37"/>
      <c r="Q149" s="37"/>
    </row>
    <row r="150" spans="1:17" ht="30" customHeight="1" x14ac:dyDescent="0.25">
      <c r="A150" s="38" t="s">
        <v>184</v>
      </c>
      <c r="B150" s="39" t="s">
        <v>17</v>
      </c>
      <c r="C150" s="40"/>
      <c r="D150" s="50">
        <v>41653</v>
      </c>
      <c r="E150" s="40">
        <f t="shared" si="3"/>
        <v>2014</v>
      </c>
      <c r="F150" s="53">
        <v>75000000</v>
      </c>
      <c r="G150" s="43"/>
      <c r="H150" s="44"/>
      <c r="I150" s="90"/>
      <c r="J150" s="90"/>
      <c r="K150" s="90"/>
      <c r="L150" s="44"/>
      <c r="M150" s="44"/>
      <c r="N150" s="44"/>
      <c r="O150" s="46"/>
      <c r="P150" s="37"/>
      <c r="Q150" s="37"/>
    </row>
    <row r="151" spans="1:17" ht="30" customHeight="1" x14ac:dyDescent="0.25">
      <c r="A151" s="38" t="s">
        <v>185</v>
      </c>
      <c r="B151" s="39"/>
      <c r="C151" s="40"/>
      <c r="D151" s="50">
        <v>41609</v>
      </c>
      <c r="E151" s="40">
        <f t="shared" si="3"/>
        <v>2013</v>
      </c>
      <c r="F151" s="53">
        <v>4850000</v>
      </c>
      <c r="G151" s="43"/>
      <c r="H151" s="44"/>
      <c r="I151" s="90"/>
      <c r="J151" s="90"/>
      <c r="K151" s="90"/>
      <c r="L151" s="44"/>
      <c r="M151" s="44"/>
      <c r="N151" s="44"/>
      <c r="O151" s="46"/>
      <c r="P151" s="37"/>
      <c r="Q151" s="37"/>
    </row>
    <row r="152" spans="1:17" ht="30" customHeight="1" x14ac:dyDescent="0.25">
      <c r="A152" s="38" t="s">
        <v>186</v>
      </c>
      <c r="B152" s="39"/>
      <c r="C152" s="40"/>
      <c r="D152" s="50">
        <v>41609</v>
      </c>
      <c r="E152" s="40">
        <f t="shared" si="3"/>
        <v>2013</v>
      </c>
      <c r="F152" s="53">
        <v>8475000</v>
      </c>
      <c r="G152" s="43"/>
      <c r="H152" s="44"/>
      <c r="I152" s="90"/>
      <c r="J152" s="90"/>
      <c r="K152" s="90"/>
      <c r="L152" s="44"/>
      <c r="M152" s="44"/>
      <c r="N152" s="44"/>
      <c r="O152" s="46"/>
      <c r="P152" s="37"/>
      <c r="Q152" s="37"/>
    </row>
    <row r="153" spans="1:17" ht="30" customHeight="1" x14ac:dyDescent="0.25">
      <c r="A153" s="38" t="s">
        <v>187</v>
      </c>
      <c r="B153" s="39"/>
      <c r="C153" s="40"/>
      <c r="D153" s="50">
        <v>41518</v>
      </c>
      <c r="E153" s="40">
        <f t="shared" si="3"/>
        <v>2013</v>
      </c>
      <c r="F153" s="53">
        <v>1800000</v>
      </c>
      <c r="G153" s="43"/>
      <c r="H153" s="44"/>
      <c r="I153" s="90"/>
      <c r="J153" s="90"/>
      <c r="K153" s="90"/>
      <c r="L153" s="44"/>
      <c r="M153" s="44"/>
      <c r="N153" s="44"/>
      <c r="O153" s="46"/>
      <c r="P153" s="37"/>
      <c r="Q153" s="37"/>
    </row>
    <row r="154" spans="1:17" ht="30" customHeight="1" x14ac:dyDescent="0.25">
      <c r="A154" s="38" t="s">
        <v>188</v>
      </c>
      <c r="B154" s="39"/>
      <c r="C154" s="40"/>
      <c r="D154" s="50">
        <v>41499</v>
      </c>
      <c r="E154" s="40">
        <f t="shared" si="3"/>
        <v>2013</v>
      </c>
      <c r="F154" s="53">
        <v>11000000</v>
      </c>
      <c r="G154" s="43"/>
      <c r="H154" s="44"/>
      <c r="I154" s="90"/>
      <c r="J154" s="90"/>
      <c r="K154" s="90"/>
      <c r="L154" s="44"/>
      <c r="M154" s="44"/>
      <c r="N154" s="44"/>
      <c r="O154" s="46"/>
      <c r="P154" s="37"/>
      <c r="Q154" s="37"/>
    </row>
    <row r="155" spans="1:17" ht="30" customHeight="1" x14ac:dyDescent="0.25">
      <c r="A155" s="38" t="s">
        <v>189</v>
      </c>
      <c r="B155" s="39" t="s">
        <v>20</v>
      </c>
      <c r="C155" s="40"/>
      <c r="D155" s="50">
        <v>41426</v>
      </c>
      <c r="E155" s="40">
        <f t="shared" si="3"/>
        <v>2013</v>
      </c>
      <c r="F155" s="53">
        <v>7845000</v>
      </c>
      <c r="G155" s="43"/>
      <c r="H155" s="44"/>
      <c r="I155" s="90"/>
      <c r="J155" s="90"/>
      <c r="K155" s="90"/>
      <c r="L155" s="44"/>
      <c r="M155" s="44"/>
      <c r="N155" s="44"/>
      <c r="O155" s="46"/>
      <c r="P155" s="37"/>
      <c r="Q155" s="37"/>
    </row>
    <row r="156" spans="1:17" ht="30" customHeight="1" x14ac:dyDescent="0.25">
      <c r="A156" s="38" t="s">
        <v>190</v>
      </c>
      <c r="B156" s="39" t="s">
        <v>117</v>
      </c>
      <c r="C156" s="40"/>
      <c r="D156" s="50">
        <v>41318</v>
      </c>
      <c r="E156" s="40">
        <f t="shared" si="3"/>
        <v>2013</v>
      </c>
      <c r="F156" s="53">
        <v>140250000</v>
      </c>
      <c r="G156" s="43"/>
      <c r="H156" s="44"/>
      <c r="I156" s="90"/>
      <c r="J156" s="90"/>
      <c r="K156" s="90"/>
      <c r="L156" s="44"/>
      <c r="M156" s="44"/>
      <c r="N156" s="44"/>
      <c r="O156" s="46"/>
      <c r="P156" s="37"/>
      <c r="Q156" s="37"/>
    </row>
    <row r="157" spans="1:17" ht="30" customHeight="1" x14ac:dyDescent="0.25">
      <c r="A157" s="38" t="s">
        <v>191</v>
      </c>
      <c r="B157" s="39" t="s">
        <v>192</v>
      </c>
      <c r="C157" s="40"/>
      <c r="D157" s="50">
        <v>41318</v>
      </c>
      <c r="E157" s="40">
        <f t="shared" si="3"/>
        <v>2013</v>
      </c>
      <c r="F157" s="53">
        <v>8000000</v>
      </c>
      <c r="G157" s="43"/>
      <c r="H157" s="44"/>
      <c r="I157" s="90"/>
      <c r="J157" s="90"/>
      <c r="K157" s="90"/>
      <c r="L157" s="44"/>
      <c r="M157" s="44"/>
      <c r="N157" s="44"/>
      <c r="O157" s="46"/>
      <c r="P157" s="37"/>
      <c r="Q157" s="37"/>
    </row>
    <row r="158" spans="1:17" ht="30" customHeight="1" thickBot="1" x14ac:dyDescent="0.3">
      <c r="A158" s="54" t="s">
        <v>193</v>
      </c>
      <c r="B158" s="55"/>
      <c r="C158" s="56"/>
      <c r="D158" s="88">
        <v>41255</v>
      </c>
      <c r="E158" s="40">
        <f t="shared" si="3"/>
        <v>2012</v>
      </c>
      <c r="F158" s="57">
        <v>23100000</v>
      </c>
      <c r="G158" s="43"/>
      <c r="H158" s="44"/>
      <c r="I158" s="90"/>
      <c r="J158" s="90"/>
      <c r="K158" s="90"/>
      <c r="L158" s="44"/>
      <c r="M158" s="44"/>
      <c r="N158" s="44"/>
      <c r="O158" s="46"/>
      <c r="P158" s="37"/>
      <c r="Q158" s="37"/>
    </row>
    <row r="159" spans="1:17" ht="30" customHeight="1" x14ac:dyDescent="0.25">
      <c r="A159" s="38" t="s">
        <v>194</v>
      </c>
      <c r="B159" s="39"/>
      <c r="C159" s="40"/>
      <c r="D159" s="50">
        <v>41255</v>
      </c>
      <c r="E159" s="40">
        <f t="shared" si="3"/>
        <v>2012</v>
      </c>
      <c r="F159" s="53">
        <v>6300000</v>
      </c>
      <c r="G159" s="43"/>
      <c r="H159" s="44"/>
      <c r="I159" s="90"/>
      <c r="J159" s="90"/>
      <c r="K159" s="90"/>
      <c r="L159" s="44"/>
      <c r="M159" s="44"/>
      <c r="N159" s="44"/>
      <c r="O159" s="46"/>
      <c r="P159" s="37"/>
      <c r="Q159" s="37"/>
    </row>
    <row r="160" spans="1:17" ht="30" customHeight="1" x14ac:dyDescent="0.25">
      <c r="A160" s="38" t="s">
        <v>195</v>
      </c>
      <c r="B160" s="39" t="s">
        <v>22</v>
      </c>
      <c r="C160" s="40"/>
      <c r="D160" s="50">
        <v>41244</v>
      </c>
      <c r="E160" s="40">
        <f t="shared" si="3"/>
        <v>2012</v>
      </c>
      <c r="F160" s="53">
        <v>2850000</v>
      </c>
      <c r="G160" s="43"/>
      <c r="H160" s="44"/>
      <c r="I160" s="90"/>
      <c r="J160" s="90"/>
      <c r="K160" s="90"/>
      <c r="L160" s="44"/>
      <c r="M160" s="44"/>
      <c r="N160" s="44"/>
      <c r="O160" s="46"/>
      <c r="P160" s="37"/>
      <c r="Q160" s="37"/>
    </row>
    <row r="161" spans="1:17" ht="30" customHeight="1" x14ac:dyDescent="0.25">
      <c r="A161" s="38" t="s">
        <v>196</v>
      </c>
      <c r="B161" s="39"/>
      <c r="C161" s="40"/>
      <c r="D161" s="50">
        <v>41244</v>
      </c>
      <c r="E161" s="40">
        <f t="shared" si="3"/>
        <v>2012</v>
      </c>
      <c r="F161" s="53">
        <v>23450000</v>
      </c>
      <c r="G161" s="43"/>
      <c r="H161" s="44"/>
      <c r="I161" s="90"/>
      <c r="J161" s="90"/>
      <c r="K161" s="90"/>
      <c r="L161" s="44"/>
      <c r="M161" s="44"/>
      <c r="N161" s="44"/>
      <c r="O161" s="46"/>
      <c r="P161" s="37"/>
      <c r="Q161" s="37"/>
    </row>
    <row r="162" spans="1:17" ht="30" customHeight="1" x14ac:dyDescent="0.25">
      <c r="A162" s="38" t="s">
        <v>197</v>
      </c>
      <c r="B162" s="39"/>
      <c r="C162" s="40"/>
      <c r="D162" s="50">
        <v>41244</v>
      </c>
      <c r="E162" s="40">
        <f t="shared" si="3"/>
        <v>2012</v>
      </c>
      <c r="F162" s="53">
        <v>8000000</v>
      </c>
      <c r="G162" s="43"/>
      <c r="H162" s="44"/>
      <c r="I162" s="90"/>
      <c r="J162" s="90"/>
      <c r="K162" s="90"/>
      <c r="L162" s="44"/>
      <c r="M162" s="44"/>
      <c r="N162" s="44"/>
      <c r="O162" s="46"/>
      <c r="P162" s="37"/>
      <c r="Q162" s="37"/>
    </row>
    <row r="163" spans="1:17" ht="30" customHeight="1" x14ac:dyDescent="0.25">
      <c r="A163" s="38" t="s">
        <v>198</v>
      </c>
      <c r="B163" s="39"/>
      <c r="C163" s="40"/>
      <c r="D163" s="50">
        <v>41244</v>
      </c>
      <c r="E163" s="40">
        <f t="shared" si="3"/>
        <v>2012</v>
      </c>
      <c r="F163" s="53">
        <v>4250000</v>
      </c>
      <c r="G163" s="43"/>
      <c r="H163" s="44"/>
      <c r="I163" s="90"/>
      <c r="J163" s="90"/>
      <c r="K163" s="90"/>
      <c r="L163" s="44"/>
      <c r="M163" s="44"/>
      <c r="N163" s="44"/>
      <c r="O163" s="46"/>
      <c r="P163" s="37"/>
      <c r="Q163" s="37"/>
    </row>
    <row r="164" spans="1:17" ht="30" customHeight="1" x14ac:dyDescent="0.25">
      <c r="A164" s="38" t="s">
        <v>199</v>
      </c>
      <c r="B164" s="39"/>
      <c r="C164" s="40"/>
      <c r="D164" s="50">
        <v>41225</v>
      </c>
      <c r="E164" s="40">
        <f t="shared" si="3"/>
        <v>2012</v>
      </c>
      <c r="F164" s="53">
        <v>6660000</v>
      </c>
      <c r="G164" s="43"/>
      <c r="H164" s="44"/>
      <c r="I164" s="90"/>
      <c r="J164" s="90"/>
      <c r="K164" s="90"/>
      <c r="L164" s="44"/>
      <c r="M164" s="44"/>
      <c r="N164" s="44"/>
      <c r="O164" s="46"/>
      <c r="P164" s="37"/>
      <c r="Q164" s="37"/>
    </row>
    <row r="165" spans="1:17" ht="30" customHeight="1" x14ac:dyDescent="0.25">
      <c r="A165" s="38" t="s">
        <v>200</v>
      </c>
      <c r="B165" s="39"/>
      <c r="C165" s="40"/>
      <c r="D165" s="50">
        <v>41194</v>
      </c>
      <c r="E165" s="40">
        <f t="shared" si="3"/>
        <v>2012</v>
      </c>
      <c r="F165" s="53">
        <v>5475000</v>
      </c>
      <c r="G165" s="43"/>
      <c r="H165" s="44"/>
      <c r="I165" s="90"/>
      <c r="J165" s="90"/>
      <c r="K165" s="90"/>
      <c r="L165" s="44"/>
      <c r="M165" s="44"/>
      <c r="N165" s="44"/>
      <c r="O165" s="46"/>
      <c r="P165" s="37"/>
      <c r="Q165" s="37"/>
    </row>
    <row r="166" spans="1:17" ht="30" customHeight="1" x14ac:dyDescent="0.25">
      <c r="A166" s="38" t="s">
        <v>201</v>
      </c>
      <c r="B166" s="39" t="s">
        <v>17</v>
      </c>
      <c r="C166" s="40"/>
      <c r="D166" s="50">
        <v>41133</v>
      </c>
      <c r="E166" s="40">
        <f t="shared" si="3"/>
        <v>2012</v>
      </c>
      <c r="F166" s="53">
        <v>24100000</v>
      </c>
      <c r="G166" s="43"/>
      <c r="H166" s="44"/>
      <c r="I166" s="90"/>
      <c r="J166" s="90"/>
      <c r="K166" s="90"/>
      <c r="L166" s="44"/>
      <c r="M166" s="44"/>
      <c r="N166" s="44"/>
      <c r="O166" s="46"/>
      <c r="P166" s="37"/>
      <c r="Q166" s="37"/>
    </row>
    <row r="167" spans="1:17" ht="30" customHeight="1" x14ac:dyDescent="0.25">
      <c r="A167" s="38" t="s">
        <v>131</v>
      </c>
      <c r="B167" s="39"/>
      <c r="C167" s="40"/>
      <c r="D167" s="50">
        <v>41133</v>
      </c>
      <c r="E167" s="40">
        <f t="shared" si="3"/>
        <v>2012</v>
      </c>
      <c r="F167" s="53">
        <v>19350000</v>
      </c>
      <c r="G167" s="43"/>
      <c r="H167" s="44"/>
      <c r="I167" s="90"/>
      <c r="J167" s="90"/>
      <c r="K167" s="90"/>
      <c r="L167" s="44"/>
      <c r="M167" s="44"/>
      <c r="N167" s="44"/>
      <c r="O167" s="46"/>
      <c r="P167" s="37"/>
      <c r="Q167" s="37"/>
    </row>
    <row r="168" spans="1:17" ht="30" customHeight="1" x14ac:dyDescent="0.25">
      <c r="A168" s="38" t="s">
        <v>202</v>
      </c>
      <c r="B168" s="39"/>
      <c r="C168" s="40"/>
      <c r="D168" s="50">
        <v>41102</v>
      </c>
      <c r="E168" s="40">
        <f t="shared" si="3"/>
        <v>2012</v>
      </c>
      <c r="F168" s="53">
        <v>3999899</v>
      </c>
      <c r="G168" s="43"/>
      <c r="H168" s="44"/>
      <c r="I168" s="90"/>
      <c r="J168" s="90"/>
      <c r="K168" s="90"/>
      <c r="L168" s="44"/>
      <c r="M168" s="44"/>
      <c r="N168" s="44"/>
      <c r="O168" s="46"/>
      <c r="P168" s="37"/>
      <c r="Q168" s="37"/>
    </row>
    <row r="169" spans="1:17" ht="30" customHeight="1" x14ac:dyDescent="0.25">
      <c r="A169" s="38" t="s">
        <v>100</v>
      </c>
      <c r="B169" s="39"/>
      <c r="C169" s="40"/>
      <c r="D169" s="50">
        <v>41061</v>
      </c>
      <c r="E169" s="40">
        <f t="shared" si="3"/>
        <v>2012</v>
      </c>
      <c r="F169" s="53">
        <v>15850000</v>
      </c>
      <c r="G169" s="43"/>
      <c r="H169" s="44"/>
      <c r="I169" s="90"/>
      <c r="J169" s="90"/>
      <c r="K169" s="90"/>
      <c r="L169" s="44"/>
      <c r="M169" s="44"/>
      <c r="N169" s="44"/>
      <c r="O169" s="46"/>
      <c r="P169" s="37"/>
      <c r="Q169" s="37"/>
    </row>
    <row r="170" spans="1:17" ht="30" customHeight="1" x14ac:dyDescent="0.25">
      <c r="A170" s="38" t="s">
        <v>203</v>
      </c>
      <c r="B170" s="39" t="s">
        <v>17</v>
      </c>
      <c r="C170" s="40"/>
      <c r="D170" s="50">
        <v>41041</v>
      </c>
      <c r="E170" s="40">
        <f t="shared" si="3"/>
        <v>2012</v>
      </c>
      <c r="F170" s="53">
        <v>30000000</v>
      </c>
      <c r="G170" s="43"/>
      <c r="H170" s="44"/>
      <c r="I170" s="90"/>
      <c r="J170" s="90"/>
      <c r="K170" s="90"/>
      <c r="L170" s="44"/>
      <c r="M170" s="44"/>
      <c r="N170" s="44"/>
      <c r="O170" s="46"/>
      <c r="P170" s="37"/>
      <c r="Q170" s="37"/>
    </row>
    <row r="171" spans="1:17" ht="30" customHeight="1" x14ac:dyDescent="0.25">
      <c r="A171" s="38" t="s">
        <v>204</v>
      </c>
      <c r="B171" s="39" t="s">
        <v>20</v>
      </c>
      <c r="C171" s="40"/>
      <c r="D171" s="50">
        <v>41041</v>
      </c>
      <c r="E171" s="40">
        <f t="shared" si="3"/>
        <v>2012</v>
      </c>
      <c r="F171" s="53">
        <v>11800000</v>
      </c>
      <c r="G171" s="43"/>
      <c r="H171" s="44"/>
      <c r="I171" s="90"/>
      <c r="J171" s="90"/>
      <c r="K171" s="90"/>
      <c r="L171" s="44"/>
      <c r="M171" s="44"/>
      <c r="N171" s="44"/>
      <c r="O171" s="46"/>
      <c r="P171" s="37"/>
      <c r="Q171" s="37"/>
    </row>
    <row r="172" spans="1:17" ht="30" customHeight="1" x14ac:dyDescent="0.25">
      <c r="A172" s="38" t="s">
        <v>205</v>
      </c>
      <c r="B172" s="39"/>
      <c r="C172" s="40"/>
      <c r="D172" s="50">
        <v>41011</v>
      </c>
      <c r="E172" s="40">
        <f t="shared" si="3"/>
        <v>2012</v>
      </c>
      <c r="F172" s="53">
        <v>16225000</v>
      </c>
      <c r="G172" s="43"/>
      <c r="H172" s="44"/>
      <c r="I172" s="90"/>
      <c r="J172" s="90"/>
      <c r="K172" s="90"/>
      <c r="L172" s="44"/>
      <c r="M172" s="44"/>
      <c r="N172" s="44"/>
      <c r="O172" s="46"/>
      <c r="P172" s="37"/>
      <c r="Q172" s="37"/>
    </row>
    <row r="173" spans="1:17" ht="30" customHeight="1" x14ac:dyDescent="0.25">
      <c r="A173" s="38" t="s">
        <v>206</v>
      </c>
      <c r="B173" s="39" t="s">
        <v>165</v>
      </c>
      <c r="C173" s="40"/>
      <c r="D173" s="50">
        <v>40980</v>
      </c>
      <c r="E173" s="40">
        <f t="shared" si="3"/>
        <v>2012</v>
      </c>
      <c r="F173" s="53">
        <v>6150000</v>
      </c>
      <c r="G173" s="43"/>
      <c r="H173" s="44"/>
      <c r="I173" s="90"/>
      <c r="J173" s="90"/>
      <c r="K173" s="90"/>
      <c r="L173" s="44"/>
      <c r="M173" s="44"/>
      <c r="N173" s="44"/>
      <c r="O173" s="46"/>
      <c r="P173" s="37"/>
      <c r="Q173" s="37"/>
    </row>
    <row r="174" spans="1:17" ht="30" customHeight="1" x14ac:dyDescent="0.25">
      <c r="A174" s="38" t="s">
        <v>207</v>
      </c>
      <c r="B174" s="39" t="s">
        <v>17</v>
      </c>
      <c r="C174" s="40"/>
      <c r="D174" s="50">
        <v>40940</v>
      </c>
      <c r="E174" s="40">
        <f t="shared" si="3"/>
        <v>2012</v>
      </c>
      <c r="F174" s="53">
        <v>32000000</v>
      </c>
      <c r="G174" s="43"/>
      <c r="H174" s="44"/>
      <c r="I174" s="90"/>
      <c r="J174" s="90"/>
      <c r="K174" s="90"/>
      <c r="L174" s="44"/>
      <c r="M174" s="44"/>
      <c r="N174" s="44"/>
      <c r="O174" s="46"/>
      <c r="P174" s="37"/>
      <c r="Q174" s="37"/>
    </row>
    <row r="175" spans="1:17" ht="30" customHeight="1" x14ac:dyDescent="0.25">
      <c r="A175" s="38" t="s">
        <v>208</v>
      </c>
      <c r="B175" s="39"/>
      <c r="C175" s="40"/>
      <c r="D175" s="50">
        <v>40940</v>
      </c>
      <c r="E175" s="40">
        <f t="shared" si="3"/>
        <v>2012</v>
      </c>
      <c r="F175" s="53">
        <v>12750000</v>
      </c>
      <c r="G175" s="43"/>
      <c r="H175" s="44"/>
      <c r="I175" s="90"/>
      <c r="J175" s="90"/>
      <c r="K175" s="90"/>
      <c r="L175" s="44"/>
      <c r="M175" s="44"/>
      <c r="N175" s="44"/>
      <c r="O175" s="46"/>
      <c r="P175" s="37"/>
      <c r="Q175" s="37"/>
    </row>
    <row r="176" spans="1:17" ht="30" customHeight="1" x14ac:dyDescent="0.25">
      <c r="A176" s="38" t="s">
        <v>209</v>
      </c>
      <c r="B176" s="39" t="s">
        <v>20</v>
      </c>
      <c r="C176" s="40"/>
      <c r="D176" s="50">
        <v>40909</v>
      </c>
      <c r="E176" s="40">
        <f t="shared" si="3"/>
        <v>2012</v>
      </c>
      <c r="F176" s="53">
        <v>4750000</v>
      </c>
      <c r="G176" s="43"/>
      <c r="H176" s="44"/>
      <c r="I176" s="90"/>
      <c r="J176" s="90"/>
      <c r="K176" s="90"/>
      <c r="L176" s="44"/>
      <c r="M176" s="44"/>
      <c r="N176" s="44"/>
      <c r="O176" s="46"/>
      <c r="P176" s="37"/>
      <c r="Q176" s="37"/>
    </row>
    <row r="177" spans="1:17" ht="30" customHeight="1" x14ac:dyDescent="0.25">
      <c r="A177" s="38" t="s">
        <v>210</v>
      </c>
      <c r="B177" s="39" t="s">
        <v>69</v>
      </c>
      <c r="C177" s="40"/>
      <c r="D177" s="50">
        <v>40888</v>
      </c>
      <c r="E177" s="40">
        <f t="shared" si="3"/>
        <v>2011</v>
      </c>
      <c r="F177" s="53">
        <v>93000000</v>
      </c>
      <c r="G177" s="43"/>
      <c r="H177" s="44"/>
      <c r="I177" s="90"/>
      <c r="J177" s="90"/>
      <c r="K177" s="90"/>
      <c r="L177" s="44"/>
      <c r="M177" s="44"/>
      <c r="N177" s="44"/>
      <c r="O177" s="46"/>
      <c r="P177" s="37"/>
      <c r="Q177" s="37"/>
    </row>
    <row r="178" spans="1:17" ht="30" customHeight="1" x14ac:dyDescent="0.25">
      <c r="A178" s="38" t="s">
        <v>211</v>
      </c>
      <c r="B178" s="39"/>
      <c r="C178" s="40"/>
      <c r="D178" s="50">
        <v>40888</v>
      </c>
      <c r="E178" s="40">
        <f t="shared" si="3"/>
        <v>2011</v>
      </c>
      <c r="F178" s="53">
        <v>1700000</v>
      </c>
      <c r="G178" s="43"/>
      <c r="H178" s="44"/>
      <c r="I178" s="90"/>
      <c r="J178" s="90"/>
      <c r="K178" s="90"/>
      <c r="L178" s="44"/>
      <c r="M178" s="44"/>
      <c r="N178" s="44"/>
      <c r="O178" s="46"/>
      <c r="P178" s="37"/>
      <c r="Q178" s="37"/>
    </row>
    <row r="179" spans="1:17" ht="30" customHeight="1" x14ac:dyDescent="0.25">
      <c r="A179" s="38" t="s">
        <v>212</v>
      </c>
      <c r="B179" s="39"/>
      <c r="C179" s="40"/>
      <c r="D179" s="50">
        <v>40858</v>
      </c>
      <c r="E179" s="40">
        <f t="shared" si="3"/>
        <v>2011</v>
      </c>
      <c r="F179" s="53">
        <v>30000000</v>
      </c>
      <c r="G179" s="43"/>
      <c r="H179" s="44"/>
      <c r="I179" s="90"/>
      <c r="J179" s="90"/>
      <c r="K179" s="90"/>
      <c r="L179" s="44"/>
      <c r="M179" s="44"/>
      <c r="N179" s="44"/>
      <c r="O179" s="46"/>
      <c r="P179" s="37"/>
      <c r="Q179" s="37"/>
    </row>
    <row r="180" spans="1:17" ht="30" customHeight="1" x14ac:dyDescent="0.25">
      <c r="A180" s="38" t="s">
        <v>213</v>
      </c>
      <c r="B180" s="39"/>
      <c r="C180" s="40"/>
      <c r="D180" s="50">
        <v>40756</v>
      </c>
      <c r="E180" s="40">
        <f t="shared" si="3"/>
        <v>2011</v>
      </c>
      <c r="F180" s="53">
        <v>36100000</v>
      </c>
      <c r="G180" s="43"/>
      <c r="H180" s="44"/>
      <c r="I180" s="90"/>
      <c r="J180" s="90"/>
      <c r="K180" s="90"/>
      <c r="L180" s="44"/>
      <c r="M180" s="44"/>
      <c r="N180" s="44"/>
      <c r="O180" s="46"/>
      <c r="P180" s="37"/>
      <c r="Q180" s="37"/>
    </row>
    <row r="181" spans="1:17" ht="30" customHeight="1" x14ac:dyDescent="0.25">
      <c r="A181" s="38" t="s">
        <v>214</v>
      </c>
      <c r="B181" s="39"/>
      <c r="C181" s="40"/>
      <c r="D181" s="50">
        <v>40735</v>
      </c>
      <c r="E181" s="40">
        <f t="shared" si="3"/>
        <v>2011</v>
      </c>
      <c r="F181" s="53">
        <v>8750000</v>
      </c>
      <c r="G181" s="43"/>
      <c r="H181" s="44"/>
      <c r="I181" s="90"/>
      <c r="J181" s="90"/>
      <c r="K181" s="90"/>
      <c r="L181" s="44"/>
      <c r="M181" s="44"/>
      <c r="N181" s="44"/>
      <c r="O181" s="46"/>
      <c r="P181" s="37"/>
      <c r="Q181" s="37"/>
    </row>
    <row r="182" spans="1:17" ht="30" customHeight="1" x14ac:dyDescent="0.25">
      <c r="A182" s="38" t="s">
        <v>215</v>
      </c>
      <c r="B182" s="39"/>
      <c r="C182" s="40"/>
      <c r="D182" s="50">
        <v>40705</v>
      </c>
      <c r="E182" s="40">
        <f t="shared" si="3"/>
        <v>2011</v>
      </c>
      <c r="F182" s="53">
        <v>4000000</v>
      </c>
      <c r="G182" s="43"/>
      <c r="H182" s="44"/>
      <c r="I182" s="90"/>
      <c r="J182" s="90"/>
      <c r="K182" s="90"/>
      <c r="L182" s="44"/>
      <c r="M182" s="44"/>
      <c r="N182" s="44"/>
      <c r="O182" s="46"/>
      <c r="P182" s="37"/>
      <c r="Q182" s="37"/>
    </row>
    <row r="183" spans="1:17" ht="30" customHeight="1" x14ac:dyDescent="0.25">
      <c r="A183" s="38" t="s">
        <v>216</v>
      </c>
      <c r="B183" s="39" t="s">
        <v>165</v>
      </c>
      <c r="C183" s="40"/>
      <c r="D183" s="50">
        <v>40695</v>
      </c>
      <c r="E183" s="40">
        <f t="shared" si="3"/>
        <v>2011</v>
      </c>
      <c r="F183" s="53">
        <v>26600000</v>
      </c>
      <c r="G183" s="43"/>
      <c r="H183" s="44"/>
      <c r="I183" s="90"/>
      <c r="J183" s="90"/>
      <c r="K183" s="90"/>
      <c r="L183" s="44"/>
      <c r="M183" s="44"/>
      <c r="N183" s="44"/>
      <c r="O183" s="46"/>
      <c r="P183" s="37"/>
      <c r="Q183" s="37"/>
    </row>
    <row r="184" spans="1:17" ht="30" customHeight="1" x14ac:dyDescent="0.25">
      <c r="A184" s="38" t="s">
        <v>217</v>
      </c>
      <c r="B184" s="39"/>
      <c r="C184" s="40"/>
      <c r="D184" s="50">
        <v>40695</v>
      </c>
      <c r="E184" s="40">
        <f t="shared" si="3"/>
        <v>2011</v>
      </c>
      <c r="F184" s="53">
        <v>5092000</v>
      </c>
      <c r="G184" s="43"/>
      <c r="H184" s="44"/>
      <c r="I184" s="90"/>
      <c r="J184" s="90"/>
      <c r="K184" s="90"/>
      <c r="L184" s="44"/>
      <c r="M184" s="44"/>
      <c r="N184" s="44"/>
      <c r="O184" s="46"/>
      <c r="P184" s="37"/>
      <c r="Q184" s="37"/>
    </row>
    <row r="185" spans="1:17" ht="30" customHeight="1" x14ac:dyDescent="0.25">
      <c r="A185" s="38" t="s">
        <v>218</v>
      </c>
      <c r="B185" s="39"/>
      <c r="C185" s="40"/>
      <c r="D185" s="50">
        <v>40695</v>
      </c>
      <c r="E185" s="40">
        <f t="shared" si="3"/>
        <v>2011</v>
      </c>
      <c r="F185" s="53">
        <v>1150000</v>
      </c>
      <c r="G185" s="43"/>
      <c r="H185" s="44"/>
      <c r="I185" s="90"/>
      <c r="J185" s="90"/>
      <c r="K185" s="90"/>
      <c r="L185" s="44"/>
      <c r="M185" s="44"/>
      <c r="N185" s="44"/>
      <c r="O185" s="46"/>
      <c r="P185" s="37"/>
      <c r="Q185" s="37"/>
    </row>
    <row r="186" spans="1:17" ht="30" customHeight="1" x14ac:dyDescent="0.25">
      <c r="A186" s="38" t="s">
        <v>219</v>
      </c>
      <c r="B186" s="39" t="s">
        <v>69</v>
      </c>
      <c r="C186" s="40"/>
      <c r="D186" s="50">
        <v>40613</v>
      </c>
      <c r="E186" s="40">
        <f t="shared" si="3"/>
        <v>2011</v>
      </c>
      <c r="F186" s="53">
        <v>95050000</v>
      </c>
      <c r="G186" s="43"/>
      <c r="H186" s="44"/>
      <c r="I186" s="90"/>
      <c r="J186" s="90"/>
      <c r="K186" s="90"/>
      <c r="L186" s="44"/>
      <c r="M186" s="44"/>
      <c r="N186" s="44"/>
      <c r="O186" s="46"/>
      <c r="P186" s="37"/>
      <c r="Q186" s="37"/>
    </row>
    <row r="187" spans="1:17" ht="30" customHeight="1" x14ac:dyDescent="0.25">
      <c r="A187" s="38" t="s">
        <v>220</v>
      </c>
      <c r="B187" s="39" t="s">
        <v>20</v>
      </c>
      <c r="C187" s="40"/>
      <c r="D187" s="50">
        <v>40564</v>
      </c>
      <c r="E187" s="40">
        <f t="shared" si="3"/>
        <v>2011</v>
      </c>
      <c r="F187" s="53">
        <v>33000000</v>
      </c>
      <c r="G187" s="43"/>
      <c r="H187" s="44"/>
      <c r="I187" s="90"/>
      <c r="J187" s="90"/>
      <c r="K187" s="90"/>
      <c r="L187" s="44"/>
      <c r="M187" s="44"/>
      <c r="N187" s="44"/>
      <c r="O187" s="46"/>
      <c r="P187" s="37"/>
      <c r="Q187" s="37"/>
    </row>
    <row r="188" spans="1:17" ht="30" customHeight="1" x14ac:dyDescent="0.25">
      <c r="A188" s="38" t="s">
        <v>221</v>
      </c>
      <c r="B188" s="39" t="s">
        <v>134</v>
      </c>
      <c r="C188" s="40"/>
      <c r="D188" s="50">
        <v>40522</v>
      </c>
      <c r="E188" s="40">
        <f t="shared" si="3"/>
        <v>2010</v>
      </c>
      <c r="F188" s="53">
        <v>1050000</v>
      </c>
      <c r="G188" s="43"/>
      <c r="H188" s="44"/>
      <c r="I188" s="90"/>
      <c r="J188" s="90"/>
      <c r="K188" s="90"/>
      <c r="L188" s="44"/>
      <c r="M188" s="44"/>
      <c r="N188" s="44"/>
      <c r="O188" s="46"/>
      <c r="P188" s="37"/>
      <c r="Q188" s="37"/>
    </row>
    <row r="189" spans="1:17" ht="30" customHeight="1" x14ac:dyDescent="0.25">
      <c r="A189" s="38" t="s">
        <v>222</v>
      </c>
      <c r="B189" s="39"/>
      <c r="C189" s="40"/>
      <c r="D189" s="50">
        <v>40522</v>
      </c>
      <c r="E189" s="40">
        <f t="shared" si="3"/>
        <v>2010</v>
      </c>
      <c r="F189" s="53">
        <v>668000</v>
      </c>
      <c r="G189" s="43"/>
      <c r="H189" s="44"/>
      <c r="I189" s="90"/>
      <c r="J189" s="90"/>
      <c r="K189" s="90"/>
      <c r="L189" s="44"/>
      <c r="M189" s="44"/>
      <c r="N189" s="44"/>
      <c r="O189" s="46"/>
      <c r="P189" s="37"/>
      <c r="Q189" s="37"/>
    </row>
    <row r="190" spans="1:17" ht="30" customHeight="1" x14ac:dyDescent="0.25">
      <c r="A190" s="38" t="s">
        <v>223</v>
      </c>
      <c r="B190" s="39"/>
      <c r="C190" s="40"/>
      <c r="D190" s="50">
        <v>40492</v>
      </c>
      <c r="E190" s="40">
        <f t="shared" si="3"/>
        <v>2010</v>
      </c>
      <c r="F190" s="53">
        <v>9150000</v>
      </c>
      <c r="G190" s="43"/>
      <c r="H190" s="44"/>
      <c r="I190" s="90"/>
      <c r="J190" s="90"/>
      <c r="K190" s="90"/>
      <c r="L190" s="44"/>
      <c r="M190" s="44"/>
      <c r="N190" s="44"/>
      <c r="O190" s="46"/>
      <c r="P190" s="37"/>
      <c r="Q190" s="37"/>
    </row>
    <row r="191" spans="1:17" ht="30" customHeight="1" x14ac:dyDescent="0.25">
      <c r="A191" s="38" t="s">
        <v>224</v>
      </c>
      <c r="B191" s="39"/>
      <c r="C191" s="40"/>
      <c r="D191" s="50">
        <v>40492</v>
      </c>
      <c r="E191" s="40">
        <f t="shared" si="3"/>
        <v>2010</v>
      </c>
      <c r="F191" s="53">
        <v>2660500</v>
      </c>
      <c r="G191" s="43"/>
      <c r="H191" s="44"/>
      <c r="I191" s="90"/>
      <c r="J191" s="90"/>
      <c r="K191" s="90"/>
      <c r="L191" s="44"/>
      <c r="M191" s="44"/>
      <c r="N191" s="44"/>
      <c r="O191" s="46"/>
      <c r="P191" s="37"/>
      <c r="Q191" s="37"/>
    </row>
    <row r="192" spans="1:17" ht="30" customHeight="1" x14ac:dyDescent="0.25">
      <c r="A192" s="38" t="s">
        <v>225</v>
      </c>
      <c r="B192" s="39"/>
      <c r="C192" s="40"/>
      <c r="D192" s="50">
        <v>40431</v>
      </c>
      <c r="E192" s="40">
        <f t="shared" si="3"/>
        <v>2010</v>
      </c>
      <c r="F192" s="53">
        <v>8300000</v>
      </c>
      <c r="G192" s="43"/>
      <c r="H192" s="44"/>
      <c r="I192" s="90"/>
      <c r="J192" s="90"/>
      <c r="K192" s="90"/>
      <c r="L192" s="44"/>
      <c r="M192" s="44"/>
      <c r="N192" s="44"/>
      <c r="O192" s="46"/>
      <c r="P192" s="37"/>
      <c r="Q192" s="37"/>
    </row>
    <row r="193" spans="1:17" ht="30" customHeight="1" x14ac:dyDescent="0.25">
      <c r="A193" s="38" t="s">
        <v>226</v>
      </c>
      <c r="B193" s="39" t="s">
        <v>134</v>
      </c>
      <c r="C193" s="40"/>
      <c r="D193" s="50">
        <v>40400</v>
      </c>
      <c r="E193" s="40">
        <f t="shared" si="3"/>
        <v>2010</v>
      </c>
      <c r="F193" s="53">
        <v>12450000</v>
      </c>
      <c r="G193" s="43"/>
      <c r="H193" s="44"/>
      <c r="I193" s="90"/>
      <c r="J193" s="90"/>
      <c r="K193" s="90"/>
      <c r="L193" s="44"/>
      <c r="M193" s="44"/>
      <c r="N193" s="44"/>
      <c r="O193" s="46"/>
      <c r="P193" s="37"/>
      <c r="Q193" s="37"/>
    </row>
    <row r="194" spans="1:17" ht="30" customHeight="1" x14ac:dyDescent="0.25">
      <c r="A194" s="38" t="s">
        <v>227</v>
      </c>
      <c r="B194" s="39"/>
      <c r="C194" s="40"/>
      <c r="D194" s="50">
        <v>40369</v>
      </c>
      <c r="E194" s="40">
        <f t="shared" si="3"/>
        <v>2010</v>
      </c>
      <c r="F194" s="53">
        <v>12150000</v>
      </c>
      <c r="G194" s="43"/>
      <c r="H194" s="44"/>
      <c r="I194" s="90"/>
      <c r="J194" s="90"/>
      <c r="K194" s="90"/>
      <c r="L194" s="44"/>
      <c r="M194" s="44"/>
      <c r="N194" s="44"/>
      <c r="O194" s="46"/>
      <c r="P194" s="37"/>
      <c r="Q194" s="37"/>
    </row>
    <row r="195" spans="1:17" ht="30" customHeight="1" x14ac:dyDescent="0.25">
      <c r="A195" s="38" t="s">
        <v>228</v>
      </c>
      <c r="B195" s="39"/>
      <c r="C195" s="40"/>
      <c r="D195" s="50">
        <v>40369</v>
      </c>
      <c r="E195" s="40">
        <f t="shared" si="3"/>
        <v>2010</v>
      </c>
      <c r="F195" s="53">
        <v>3627000</v>
      </c>
      <c r="G195" s="43"/>
      <c r="H195" s="44"/>
      <c r="I195" s="90"/>
      <c r="J195" s="90"/>
      <c r="K195" s="90"/>
      <c r="L195" s="44"/>
      <c r="M195" s="44"/>
      <c r="N195" s="44"/>
      <c r="O195" s="46"/>
      <c r="P195" s="37"/>
      <c r="Q195" s="37"/>
    </row>
    <row r="196" spans="1:17" ht="30" customHeight="1" x14ac:dyDescent="0.25">
      <c r="A196" s="38" t="s">
        <v>219</v>
      </c>
      <c r="B196" s="39" t="s">
        <v>69</v>
      </c>
      <c r="C196" s="40"/>
      <c r="D196" s="50">
        <v>40269</v>
      </c>
      <c r="E196" s="40">
        <f t="shared" si="3"/>
        <v>2010</v>
      </c>
      <c r="F196" s="53">
        <v>52500000</v>
      </c>
      <c r="G196" s="58"/>
      <c r="H196" s="44"/>
      <c r="I196" s="90"/>
      <c r="J196" s="90"/>
      <c r="K196" s="90"/>
      <c r="L196" s="44"/>
      <c r="M196" s="44"/>
      <c r="N196" s="44"/>
      <c r="O196" s="46"/>
      <c r="P196" s="37"/>
      <c r="Q196" s="37"/>
    </row>
    <row r="197" spans="1:17" ht="30" customHeight="1" x14ac:dyDescent="0.25">
      <c r="A197" s="38" t="s">
        <v>229</v>
      </c>
      <c r="B197" s="39"/>
      <c r="C197" s="40"/>
      <c r="D197" s="50">
        <v>40065</v>
      </c>
      <c r="E197" s="40">
        <f t="shared" ref="E197:E260" si="4">YEAR(D197)</f>
        <v>2009</v>
      </c>
      <c r="F197" s="53">
        <v>4500000</v>
      </c>
      <c r="G197" s="43"/>
      <c r="H197" s="44"/>
      <c r="I197" s="90"/>
      <c r="J197" s="90"/>
      <c r="K197" s="90"/>
      <c r="L197" s="44"/>
      <c r="M197" s="44"/>
      <c r="N197" s="44"/>
      <c r="O197" s="46"/>
      <c r="P197" s="37"/>
      <c r="Q197" s="37"/>
    </row>
    <row r="198" spans="1:17" ht="30" customHeight="1" x14ac:dyDescent="0.25">
      <c r="A198" s="38" t="s">
        <v>230</v>
      </c>
      <c r="B198" s="39"/>
      <c r="C198" s="40"/>
      <c r="D198" s="50">
        <v>39941</v>
      </c>
      <c r="E198" s="40">
        <f t="shared" si="4"/>
        <v>2009</v>
      </c>
      <c r="F198" s="53">
        <v>975000</v>
      </c>
      <c r="G198" s="43"/>
      <c r="H198" s="44"/>
      <c r="I198" s="90"/>
      <c r="J198" s="90"/>
      <c r="K198" s="90"/>
      <c r="L198" s="44"/>
      <c r="M198" s="44"/>
      <c r="N198" s="44"/>
      <c r="O198" s="46"/>
      <c r="P198" s="37"/>
      <c r="Q198" s="37"/>
    </row>
    <row r="199" spans="1:17" ht="30" customHeight="1" x14ac:dyDescent="0.25">
      <c r="A199" s="38" t="s">
        <v>61</v>
      </c>
      <c r="B199" s="39" t="s">
        <v>62</v>
      </c>
      <c r="C199" s="40"/>
      <c r="D199" s="50">
        <v>39752</v>
      </c>
      <c r="E199" s="40">
        <f t="shared" si="4"/>
        <v>2008</v>
      </c>
      <c r="F199" s="53">
        <v>7300000</v>
      </c>
      <c r="G199" s="43"/>
      <c r="H199" s="44"/>
      <c r="I199" s="90"/>
      <c r="J199" s="90"/>
      <c r="K199" s="90"/>
      <c r="L199" s="44"/>
      <c r="M199" s="44"/>
      <c r="N199" s="44"/>
      <c r="O199" s="46"/>
      <c r="P199" s="37"/>
      <c r="Q199" s="37"/>
    </row>
    <row r="200" spans="1:17" ht="30" customHeight="1" x14ac:dyDescent="0.25">
      <c r="A200" s="38" t="s">
        <v>164</v>
      </c>
      <c r="B200" s="39" t="s">
        <v>165</v>
      </c>
      <c r="C200" s="40"/>
      <c r="D200" s="50">
        <v>39546</v>
      </c>
      <c r="E200" s="40">
        <f t="shared" si="4"/>
        <v>2008</v>
      </c>
      <c r="F200" s="53">
        <v>18000000</v>
      </c>
      <c r="G200" s="43"/>
      <c r="H200" s="44"/>
      <c r="I200" s="90"/>
      <c r="J200" s="90"/>
      <c r="K200" s="90"/>
      <c r="L200" s="44"/>
      <c r="M200" s="44"/>
      <c r="N200" s="44"/>
      <c r="O200" s="46"/>
      <c r="P200" s="37"/>
      <c r="Q200" s="37"/>
    </row>
    <row r="201" spans="1:17" ht="30" customHeight="1" x14ac:dyDescent="0.25">
      <c r="A201" s="38" t="s">
        <v>231</v>
      </c>
      <c r="B201" s="39"/>
      <c r="C201" s="40"/>
      <c r="D201" s="50">
        <v>39546</v>
      </c>
      <c r="E201" s="40">
        <f t="shared" si="4"/>
        <v>2008</v>
      </c>
      <c r="F201" s="53">
        <v>9000000</v>
      </c>
      <c r="G201" s="43"/>
      <c r="H201" s="44"/>
      <c r="I201" s="90"/>
      <c r="J201" s="90"/>
      <c r="K201" s="90"/>
      <c r="L201" s="44"/>
      <c r="M201" s="44"/>
      <c r="N201" s="44"/>
      <c r="O201" s="46"/>
      <c r="P201" s="37"/>
      <c r="Q201" s="37"/>
    </row>
    <row r="202" spans="1:17" ht="30" customHeight="1" x14ac:dyDescent="0.25">
      <c r="A202" s="38" t="s">
        <v>232</v>
      </c>
      <c r="B202" s="39"/>
      <c r="C202" s="40"/>
      <c r="D202" s="50">
        <v>39514</v>
      </c>
      <c r="E202" s="40">
        <f t="shared" si="4"/>
        <v>2008</v>
      </c>
      <c r="F202" s="53">
        <v>2400000</v>
      </c>
      <c r="G202" s="43"/>
      <c r="H202" s="44"/>
      <c r="I202" s="90"/>
      <c r="J202" s="90"/>
      <c r="K202" s="90"/>
      <c r="L202" s="44"/>
      <c r="M202" s="44"/>
      <c r="N202" s="44"/>
      <c r="O202" s="46"/>
      <c r="P202" s="37"/>
      <c r="Q202" s="37"/>
    </row>
    <row r="203" spans="1:17" ht="30" customHeight="1" x14ac:dyDescent="0.25">
      <c r="A203" s="38" t="s">
        <v>233</v>
      </c>
      <c r="B203" s="39"/>
      <c r="C203" s="40"/>
      <c r="D203" s="50">
        <v>39486</v>
      </c>
      <c r="E203" s="40">
        <f t="shared" si="4"/>
        <v>2008</v>
      </c>
      <c r="F203" s="53">
        <v>6875000</v>
      </c>
      <c r="G203" s="43"/>
      <c r="H203" s="44"/>
      <c r="I203" s="90"/>
      <c r="J203" s="90"/>
      <c r="K203" s="90"/>
      <c r="L203" s="44"/>
      <c r="M203" s="44"/>
      <c r="N203" s="44"/>
      <c r="O203" s="46"/>
      <c r="P203" s="37"/>
      <c r="Q203" s="37"/>
    </row>
    <row r="204" spans="1:17" ht="30" customHeight="1" x14ac:dyDescent="0.25">
      <c r="A204" s="59" t="s">
        <v>253</v>
      </c>
      <c r="B204" s="59"/>
      <c r="C204" s="60"/>
      <c r="D204" s="61">
        <v>39484</v>
      </c>
      <c r="E204" s="40">
        <f t="shared" si="4"/>
        <v>2008</v>
      </c>
      <c r="F204" s="62">
        <v>6825000</v>
      </c>
      <c r="G204" s="43"/>
      <c r="H204" s="44"/>
      <c r="I204" s="90"/>
      <c r="J204" s="90"/>
      <c r="K204" s="90"/>
      <c r="L204" s="44"/>
      <c r="M204" s="44"/>
      <c r="N204" s="44"/>
      <c r="O204" s="63"/>
      <c r="P204" s="37"/>
      <c r="Q204" s="37"/>
    </row>
    <row r="205" spans="1:17" ht="30" customHeight="1" x14ac:dyDescent="0.25">
      <c r="A205" s="38" t="s">
        <v>234</v>
      </c>
      <c r="B205" s="39" t="s">
        <v>20</v>
      </c>
      <c r="C205" s="40"/>
      <c r="D205" s="50">
        <v>39436</v>
      </c>
      <c r="E205" s="40">
        <f t="shared" si="4"/>
        <v>2007</v>
      </c>
      <c r="F205" s="53">
        <v>51000000</v>
      </c>
      <c r="G205" s="43"/>
      <c r="H205" s="44"/>
      <c r="I205" s="90"/>
      <c r="J205" s="90"/>
      <c r="K205" s="90"/>
      <c r="L205" s="44"/>
      <c r="M205" s="44"/>
      <c r="N205" s="44"/>
      <c r="O205" s="46"/>
      <c r="P205" s="37"/>
      <c r="Q205" s="37"/>
    </row>
    <row r="206" spans="1:17" ht="30" customHeight="1" x14ac:dyDescent="0.25">
      <c r="A206" s="38" t="s">
        <v>225</v>
      </c>
      <c r="B206" s="38"/>
      <c r="C206" s="40"/>
      <c r="D206" s="61">
        <v>39436</v>
      </c>
      <c r="E206" s="40">
        <f t="shared" si="4"/>
        <v>2007</v>
      </c>
      <c r="F206" s="62">
        <v>16500000</v>
      </c>
      <c r="G206" s="43"/>
      <c r="H206" s="44"/>
      <c r="I206" s="90"/>
      <c r="J206" s="90"/>
      <c r="K206" s="90"/>
      <c r="L206" s="44"/>
      <c r="M206" s="44"/>
      <c r="N206" s="44"/>
      <c r="O206" s="64"/>
      <c r="P206" s="41">
        <v>1</v>
      </c>
      <c r="Q206" s="65"/>
    </row>
    <row r="207" spans="1:17" ht="30" customHeight="1" x14ac:dyDescent="0.25">
      <c r="A207" s="38" t="s">
        <v>235</v>
      </c>
      <c r="B207" s="39"/>
      <c r="C207" s="40"/>
      <c r="D207" s="50">
        <v>39393</v>
      </c>
      <c r="E207" s="40">
        <f t="shared" si="4"/>
        <v>2007</v>
      </c>
      <c r="F207" s="53">
        <v>3800000</v>
      </c>
      <c r="G207" s="43"/>
      <c r="H207" s="44"/>
      <c r="I207" s="90"/>
      <c r="J207" s="90"/>
      <c r="K207" s="90"/>
      <c r="L207" s="44"/>
      <c r="M207" s="44"/>
      <c r="N207" s="44"/>
      <c r="O207" s="46"/>
      <c r="P207" s="37"/>
      <c r="Q207" s="37"/>
    </row>
    <row r="208" spans="1:17" ht="30" customHeight="1" x14ac:dyDescent="0.25">
      <c r="A208" s="38" t="s">
        <v>236</v>
      </c>
      <c r="B208" s="39"/>
      <c r="C208" s="40"/>
      <c r="D208" s="50">
        <v>39332</v>
      </c>
      <c r="E208" s="40">
        <f t="shared" si="4"/>
        <v>2007</v>
      </c>
      <c r="F208" s="53">
        <v>23000000</v>
      </c>
      <c r="G208" s="43"/>
      <c r="H208" s="44"/>
      <c r="I208" s="90"/>
      <c r="J208" s="90"/>
      <c r="K208" s="90"/>
      <c r="L208" s="44"/>
      <c r="M208" s="44"/>
      <c r="N208" s="44"/>
      <c r="O208" s="46"/>
      <c r="P208" s="37"/>
      <c r="Q208" s="37"/>
    </row>
    <row r="209" spans="1:17" ht="30" customHeight="1" x14ac:dyDescent="0.25">
      <c r="A209" s="38" t="s">
        <v>237</v>
      </c>
      <c r="B209" s="39"/>
      <c r="C209" s="40"/>
      <c r="D209" s="50">
        <v>39332</v>
      </c>
      <c r="E209" s="40">
        <f t="shared" si="4"/>
        <v>2007</v>
      </c>
      <c r="F209" s="53">
        <v>7225000</v>
      </c>
      <c r="G209" s="43"/>
      <c r="H209" s="44"/>
      <c r="I209" s="90"/>
      <c r="J209" s="90"/>
      <c r="K209" s="90"/>
      <c r="L209" s="44"/>
      <c r="M209" s="44"/>
      <c r="N209" s="44"/>
      <c r="O209" s="46"/>
      <c r="P209" s="37"/>
      <c r="Q209" s="37"/>
    </row>
    <row r="210" spans="1:17" ht="30" customHeight="1" x14ac:dyDescent="0.25">
      <c r="A210" s="38" t="s">
        <v>233</v>
      </c>
      <c r="B210" s="39"/>
      <c r="C210" s="40"/>
      <c r="D210" s="50">
        <v>39332</v>
      </c>
      <c r="E210" s="40">
        <f t="shared" si="4"/>
        <v>2007</v>
      </c>
      <c r="F210" s="53">
        <v>7100000</v>
      </c>
      <c r="G210" s="43"/>
      <c r="H210" s="44"/>
      <c r="I210" s="90"/>
      <c r="J210" s="90"/>
      <c r="K210" s="90"/>
      <c r="L210" s="44"/>
      <c r="M210" s="44"/>
      <c r="N210" s="44"/>
      <c r="O210" s="46"/>
      <c r="P210" s="37"/>
      <c r="Q210" s="37"/>
    </row>
    <row r="211" spans="1:17" ht="30" customHeight="1" x14ac:dyDescent="0.25">
      <c r="A211" s="38" t="s">
        <v>163</v>
      </c>
      <c r="B211" s="39"/>
      <c r="C211" s="40"/>
      <c r="D211" s="50">
        <v>39332</v>
      </c>
      <c r="E211" s="40">
        <f t="shared" si="4"/>
        <v>2007</v>
      </c>
      <c r="F211" s="53">
        <v>23000000</v>
      </c>
      <c r="G211" s="43"/>
      <c r="H211" s="44"/>
      <c r="I211" s="90"/>
      <c r="J211" s="90"/>
      <c r="K211" s="90"/>
      <c r="L211" s="44"/>
      <c r="M211" s="44"/>
      <c r="N211" s="44"/>
      <c r="O211" s="46"/>
      <c r="P211" s="37"/>
      <c r="Q211" s="37"/>
    </row>
    <row r="212" spans="1:17" ht="30" customHeight="1" x14ac:dyDescent="0.25">
      <c r="A212" s="38" t="s">
        <v>201</v>
      </c>
      <c r="B212" s="39" t="s">
        <v>17</v>
      </c>
      <c r="C212" s="40"/>
      <c r="D212" s="50">
        <v>39301</v>
      </c>
      <c r="E212" s="40">
        <f t="shared" si="4"/>
        <v>2007</v>
      </c>
      <c r="F212" s="53">
        <v>18875000</v>
      </c>
      <c r="G212" s="43"/>
      <c r="H212" s="44"/>
      <c r="I212" s="90"/>
      <c r="J212" s="90"/>
      <c r="K212" s="90"/>
      <c r="L212" s="44"/>
      <c r="M212" s="44"/>
      <c r="N212" s="44"/>
      <c r="O212" s="46"/>
      <c r="P212" s="37"/>
      <c r="Q212" s="37"/>
    </row>
    <row r="213" spans="1:17" ht="30" customHeight="1" x14ac:dyDescent="0.25">
      <c r="A213" s="38" t="s">
        <v>220</v>
      </c>
      <c r="B213" s="39"/>
      <c r="C213" s="40"/>
      <c r="D213" s="50">
        <v>39209</v>
      </c>
      <c r="E213" s="40">
        <f t="shared" si="4"/>
        <v>2007</v>
      </c>
      <c r="F213" s="53">
        <v>31288527</v>
      </c>
      <c r="G213" s="43"/>
      <c r="H213" s="44"/>
      <c r="I213" s="90"/>
      <c r="J213" s="90"/>
      <c r="K213" s="90"/>
      <c r="L213" s="44"/>
      <c r="M213" s="44"/>
      <c r="N213" s="44"/>
      <c r="O213" s="46"/>
      <c r="P213" s="37"/>
      <c r="Q213" s="37"/>
    </row>
    <row r="214" spans="1:17" ht="30" customHeight="1" x14ac:dyDescent="0.25">
      <c r="A214" s="38" t="s">
        <v>238</v>
      </c>
      <c r="B214" s="39"/>
      <c r="C214" s="40"/>
      <c r="D214" s="50">
        <v>39175</v>
      </c>
      <c r="E214" s="40">
        <f t="shared" si="4"/>
        <v>2007</v>
      </c>
      <c r="F214" s="53">
        <v>23500000</v>
      </c>
      <c r="G214" s="43"/>
      <c r="H214" s="44"/>
      <c r="I214" s="90"/>
      <c r="J214" s="90"/>
      <c r="K214" s="90"/>
      <c r="L214" s="44"/>
      <c r="M214" s="44"/>
      <c r="N214" s="44"/>
      <c r="O214" s="46"/>
      <c r="P214" s="37"/>
      <c r="Q214" s="37"/>
    </row>
    <row r="215" spans="1:17" ht="30" customHeight="1" x14ac:dyDescent="0.25">
      <c r="A215" s="38" t="s">
        <v>239</v>
      </c>
      <c r="B215" s="39" t="s">
        <v>45</v>
      </c>
      <c r="C215" s="40"/>
      <c r="D215" s="50">
        <v>39175</v>
      </c>
      <c r="E215" s="40">
        <f t="shared" si="4"/>
        <v>2007</v>
      </c>
      <c r="F215" s="53">
        <v>7000000</v>
      </c>
      <c r="G215" s="43"/>
      <c r="H215" s="44"/>
      <c r="I215" s="90"/>
      <c r="J215" s="90"/>
      <c r="K215" s="90"/>
      <c r="L215" s="44"/>
      <c r="M215" s="44"/>
      <c r="N215" s="44"/>
      <c r="O215" s="46"/>
      <c r="P215" s="37"/>
      <c r="Q215" s="37"/>
    </row>
    <row r="216" spans="1:17" ht="30" customHeight="1" x14ac:dyDescent="0.25">
      <c r="A216" s="38" t="s">
        <v>240</v>
      </c>
      <c r="B216" s="39" t="s">
        <v>165</v>
      </c>
      <c r="C216" s="40"/>
      <c r="D216" s="50">
        <v>39148</v>
      </c>
      <c r="E216" s="40">
        <f t="shared" si="4"/>
        <v>2007</v>
      </c>
      <c r="F216" s="53">
        <v>16985000</v>
      </c>
      <c r="G216" s="43"/>
      <c r="H216" s="44"/>
      <c r="I216" s="90"/>
      <c r="J216" s="90"/>
      <c r="K216" s="90"/>
      <c r="L216" s="44"/>
      <c r="M216" s="44"/>
      <c r="N216" s="44"/>
      <c r="O216" s="46"/>
      <c r="P216" s="37"/>
      <c r="Q216" s="37"/>
    </row>
    <row r="217" spans="1:17" ht="30" customHeight="1" x14ac:dyDescent="0.25">
      <c r="A217" s="38" t="s">
        <v>241</v>
      </c>
      <c r="B217" s="39"/>
      <c r="C217" s="40"/>
      <c r="D217" s="50">
        <v>39148</v>
      </c>
      <c r="E217" s="40">
        <f t="shared" si="4"/>
        <v>2007</v>
      </c>
      <c r="F217" s="53">
        <v>3200000</v>
      </c>
      <c r="G217" s="43"/>
      <c r="H217" s="44"/>
      <c r="I217" s="90"/>
      <c r="J217" s="90"/>
      <c r="K217" s="90"/>
      <c r="L217" s="44"/>
      <c r="M217" s="44"/>
      <c r="N217" s="44"/>
      <c r="O217" s="46"/>
      <c r="P217" s="37"/>
      <c r="Q217" s="37"/>
    </row>
    <row r="218" spans="1:17" ht="30" customHeight="1" x14ac:dyDescent="0.25">
      <c r="A218" s="38" t="s">
        <v>207</v>
      </c>
      <c r="B218" s="39" t="s">
        <v>17</v>
      </c>
      <c r="C218" s="40"/>
      <c r="D218" s="50">
        <v>39057</v>
      </c>
      <c r="E218" s="40">
        <f t="shared" si="4"/>
        <v>2006</v>
      </c>
      <c r="F218" s="53">
        <v>18100000</v>
      </c>
      <c r="G218" s="43"/>
      <c r="H218" s="44"/>
      <c r="I218" s="90"/>
      <c r="J218" s="90"/>
      <c r="K218" s="90"/>
      <c r="L218" s="44"/>
      <c r="M218" s="44"/>
      <c r="N218" s="44"/>
      <c r="O218" s="46"/>
      <c r="P218" s="37"/>
      <c r="Q218" s="37"/>
    </row>
    <row r="219" spans="1:17" ht="30" customHeight="1" x14ac:dyDescent="0.25">
      <c r="A219" s="38" t="s">
        <v>242</v>
      </c>
      <c r="B219" s="39" t="s">
        <v>17</v>
      </c>
      <c r="C219" s="40"/>
      <c r="D219" s="50">
        <v>39027</v>
      </c>
      <c r="E219" s="40">
        <f t="shared" si="4"/>
        <v>2006</v>
      </c>
      <c r="F219" s="53">
        <v>13000000</v>
      </c>
      <c r="G219" s="43"/>
      <c r="H219" s="44"/>
      <c r="I219" s="90"/>
      <c r="J219" s="90"/>
      <c r="K219" s="90"/>
      <c r="L219" s="44"/>
      <c r="M219" s="44"/>
      <c r="N219" s="44"/>
      <c r="O219" s="46"/>
      <c r="P219" s="37"/>
      <c r="Q219" s="37"/>
    </row>
    <row r="220" spans="1:17" ht="30" customHeight="1" x14ac:dyDescent="0.25">
      <c r="A220" s="38" t="s">
        <v>243</v>
      </c>
      <c r="B220" s="39"/>
      <c r="C220" s="40"/>
      <c r="D220" s="50">
        <v>39027</v>
      </c>
      <c r="E220" s="40">
        <f t="shared" si="4"/>
        <v>2006</v>
      </c>
      <c r="F220" s="53">
        <v>16800000</v>
      </c>
      <c r="G220" s="43"/>
      <c r="H220" s="44"/>
      <c r="I220" s="90"/>
      <c r="J220" s="90"/>
      <c r="K220" s="90"/>
      <c r="L220" s="44"/>
      <c r="M220" s="44"/>
      <c r="N220" s="44"/>
      <c r="O220" s="46"/>
      <c r="P220" s="37"/>
      <c r="Q220" s="37"/>
    </row>
    <row r="221" spans="1:17" ht="30" customHeight="1" x14ac:dyDescent="0.25">
      <c r="A221" s="38" t="s">
        <v>131</v>
      </c>
      <c r="B221" s="39"/>
      <c r="C221" s="40"/>
      <c r="D221" s="50">
        <v>39027</v>
      </c>
      <c r="E221" s="40">
        <f t="shared" si="4"/>
        <v>2006</v>
      </c>
      <c r="F221" s="53">
        <v>7500000</v>
      </c>
      <c r="G221" s="43"/>
      <c r="H221" s="44"/>
      <c r="I221" s="90"/>
      <c r="J221" s="90"/>
      <c r="K221" s="90"/>
      <c r="L221" s="44"/>
      <c r="M221" s="44"/>
      <c r="N221" s="44"/>
      <c r="O221" s="46"/>
      <c r="P221" s="37"/>
      <c r="Q221" s="37"/>
    </row>
    <row r="222" spans="1:17" ht="30" customHeight="1" x14ac:dyDescent="0.25">
      <c r="A222" s="38" t="s">
        <v>244</v>
      </c>
      <c r="B222" s="39" t="s">
        <v>17</v>
      </c>
      <c r="C222" s="40"/>
      <c r="D222" s="50">
        <v>38966</v>
      </c>
      <c r="E222" s="40">
        <f t="shared" si="4"/>
        <v>2006</v>
      </c>
      <c r="F222" s="53">
        <v>7387500</v>
      </c>
      <c r="G222" s="43"/>
      <c r="H222" s="44"/>
      <c r="I222" s="90"/>
      <c r="J222" s="90"/>
      <c r="K222" s="90"/>
      <c r="L222" s="44"/>
      <c r="M222" s="44"/>
      <c r="N222" s="44"/>
      <c r="O222" s="46"/>
      <c r="P222" s="37"/>
      <c r="Q222" s="37"/>
    </row>
    <row r="223" spans="1:17" ht="30" customHeight="1" x14ac:dyDescent="0.25">
      <c r="A223" s="38" t="s">
        <v>216</v>
      </c>
      <c r="B223" s="39" t="s">
        <v>165</v>
      </c>
      <c r="C223" s="40"/>
      <c r="D223" s="50">
        <v>38966</v>
      </c>
      <c r="E223" s="40">
        <f t="shared" si="4"/>
        <v>2006</v>
      </c>
      <c r="F223" s="53">
        <v>32100000</v>
      </c>
      <c r="G223" s="43"/>
      <c r="H223" s="44"/>
      <c r="I223" s="90"/>
      <c r="J223" s="90"/>
      <c r="K223" s="90"/>
      <c r="L223" s="44"/>
      <c r="M223" s="44"/>
      <c r="N223" s="44"/>
      <c r="O223" s="46"/>
      <c r="P223" s="37"/>
      <c r="Q223" s="37"/>
    </row>
    <row r="224" spans="1:17" ht="30" customHeight="1" x14ac:dyDescent="0.25">
      <c r="A224" s="38" t="s">
        <v>245</v>
      </c>
      <c r="B224" s="39" t="s">
        <v>17</v>
      </c>
      <c r="C224" s="40"/>
      <c r="D224" s="50">
        <v>38961</v>
      </c>
      <c r="E224" s="40">
        <f t="shared" si="4"/>
        <v>2006</v>
      </c>
      <c r="F224" s="53">
        <v>22760000</v>
      </c>
      <c r="G224" s="43"/>
      <c r="H224" s="44"/>
      <c r="I224" s="90"/>
      <c r="J224" s="90"/>
      <c r="K224" s="90"/>
      <c r="L224" s="44"/>
      <c r="M224" s="44"/>
      <c r="N224" s="44"/>
      <c r="O224" s="46"/>
      <c r="P224" s="37"/>
      <c r="Q224" s="37"/>
    </row>
    <row r="225" spans="1:17" ht="30" customHeight="1" x14ac:dyDescent="0.25">
      <c r="A225" s="38" t="s">
        <v>226</v>
      </c>
      <c r="B225" s="39" t="s">
        <v>134</v>
      </c>
      <c r="C225" s="40"/>
      <c r="D225" s="50">
        <v>38904</v>
      </c>
      <c r="E225" s="40">
        <f t="shared" si="4"/>
        <v>2006</v>
      </c>
      <c r="F225" s="53">
        <v>30500000</v>
      </c>
      <c r="G225" s="43"/>
      <c r="H225" s="44"/>
      <c r="I225" s="90"/>
      <c r="J225" s="90"/>
      <c r="K225" s="90"/>
      <c r="L225" s="44"/>
      <c r="M225" s="44"/>
      <c r="N225" s="44"/>
      <c r="O225" s="46"/>
      <c r="P225" s="37"/>
      <c r="Q225" s="37"/>
    </row>
    <row r="226" spans="1:17" ht="30" customHeight="1" x14ac:dyDescent="0.25">
      <c r="A226" s="38" t="s">
        <v>246</v>
      </c>
      <c r="B226" s="39"/>
      <c r="C226" s="40"/>
      <c r="D226" s="50">
        <v>38874</v>
      </c>
      <c r="E226" s="40">
        <f t="shared" si="4"/>
        <v>2006</v>
      </c>
      <c r="F226" s="53">
        <v>5780000</v>
      </c>
      <c r="G226" s="43"/>
      <c r="H226" s="44"/>
      <c r="I226" s="90"/>
      <c r="J226" s="90"/>
      <c r="K226" s="90"/>
      <c r="L226" s="44"/>
      <c r="M226" s="44"/>
      <c r="N226" s="44"/>
      <c r="O226" s="46"/>
      <c r="P226" s="37"/>
      <c r="Q226" s="37"/>
    </row>
    <row r="227" spans="1:17" ht="30" customHeight="1" x14ac:dyDescent="0.25">
      <c r="A227" s="38" t="s">
        <v>200</v>
      </c>
      <c r="B227" s="39"/>
      <c r="C227" s="40"/>
      <c r="D227" s="50">
        <v>38874</v>
      </c>
      <c r="E227" s="40">
        <f t="shared" si="4"/>
        <v>2006</v>
      </c>
      <c r="F227" s="53">
        <v>5500000</v>
      </c>
      <c r="G227" s="43"/>
      <c r="H227" s="44"/>
      <c r="I227" s="90"/>
      <c r="J227" s="90"/>
      <c r="K227" s="90"/>
      <c r="L227" s="44"/>
      <c r="M227" s="44"/>
      <c r="N227" s="44"/>
      <c r="O227" s="46"/>
      <c r="P227" s="37"/>
      <c r="Q227" s="37"/>
    </row>
    <row r="228" spans="1:17" ht="30" customHeight="1" x14ac:dyDescent="0.25">
      <c r="A228" s="38" t="s">
        <v>247</v>
      </c>
      <c r="B228" s="39"/>
      <c r="C228" s="40"/>
      <c r="D228" s="50">
        <v>38874</v>
      </c>
      <c r="E228" s="40">
        <f t="shared" si="4"/>
        <v>2006</v>
      </c>
      <c r="F228" s="53">
        <v>4500000</v>
      </c>
      <c r="G228" s="43"/>
      <c r="H228" s="44"/>
      <c r="I228" s="90"/>
      <c r="J228" s="90"/>
      <c r="K228" s="90"/>
      <c r="L228" s="44"/>
      <c r="M228" s="44"/>
      <c r="N228" s="44"/>
      <c r="O228" s="46"/>
      <c r="P228" s="37"/>
      <c r="Q228" s="37"/>
    </row>
    <row r="229" spans="1:17" ht="30" customHeight="1" x14ac:dyDescent="0.25">
      <c r="A229" s="38" t="s">
        <v>25</v>
      </c>
      <c r="B229" s="39" t="s">
        <v>17</v>
      </c>
      <c r="C229" s="40"/>
      <c r="D229" s="50">
        <v>38843</v>
      </c>
      <c r="E229" s="40">
        <f t="shared" si="4"/>
        <v>2006</v>
      </c>
      <c r="F229" s="53">
        <v>12600000</v>
      </c>
      <c r="G229" s="43"/>
      <c r="H229" s="44"/>
      <c r="I229" s="90"/>
      <c r="J229" s="90"/>
      <c r="K229" s="90"/>
      <c r="L229" s="44"/>
      <c r="M229" s="44"/>
      <c r="N229" s="44"/>
      <c r="O229" s="46"/>
      <c r="P229" s="37"/>
      <c r="Q229" s="37"/>
    </row>
    <row r="230" spans="1:17" ht="30" customHeight="1" x14ac:dyDescent="0.25">
      <c r="A230" s="38" t="s">
        <v>248</v>
      </c>
      <c r="B230" s="39"/>
      <c r="C230" s="40"/>
      <c r="D230" s="50">
        <v>38843</v>
      </c>
      <c r="E230" s="40">
        <f t="shared" si="4"/>
        <v>2006</v>
      </c>
      <c r="F230" s="53">
        <v>26000000</v>
      </c>
      <c r="G230" s="43"/>
      <c r="H230" s="44"/>
      <c r="I230" s="90"/>
      <c r="J230" s="90"/>
      <c r="K230" s="90"/>
      <c r="L230" s="44"/>
      <c r="M230" s="44"/>
      <c r="N230" s="44"/>
      <c r="O230" s="46"/>
      <c r="P230" s="37"/>
      <c r="Q230" s="37"/>
    </row>
    <row r="231" spans="1:17" ht="30" customHeight="1" x14ac:dyDescent="0.25">
      <c r="A231" s="38" t="s">
        <v>220</v>
      </c>
      <c r="B231" s="39" t="s">
        <v>20</v>
      </c>
      <c r="C231" s="40"/>
      <c r="D231" s="50">
        <v>38843</v>
      </c>
      <c r="E231" s="40">
        <f t="shared" si="4"/>
        <v>2006</v>
      </c>
      <c r="F231" s="53">
        <v>20000000</v>
      </c>
      <c r="G231" s="43"/>
      <c r="H231" s="44"/>
      <c r="I231" s="90"/>
      <c r="J231" s="90"/>
      <c r="K231" s="90"/>
      <c r="L231" s="44"/>
      <c r="M231" s="44"/>
      <c r="N231" s="44"/>
      <c r="O231" s="46"/>
      <c r="P231" s="37"/>
      <c r="Q231" s="37"/>
    </row>
    <row r="232" spans="1:17" ht="30" customHeight="1" x14ac:dyDescent="0.25">
      <c r="A232" s="38" t="s">
        <v>249</v>
      </c>
      <c r="B232" s="39" t="s">
        <v>20</v>
      </c>
      <c r="C232" s="40"/>
      <c r="D232" s="50">
        <v>38813</v>
      </c>
      <c r="E232" s="40">
        <f t="shared" si="4"/>
        <v>2006</v>
      </c>
      <c r="F232" s="53">
        <v>32500000</v>
      </c>
      <c r="G232" s="43"/>
      <c r="H232" s="44"/>
      <c r="I232" s="90"/>
      <c r="J232" s="90"/>
      <c r="K232" s="90"/>
      <c r="L232" s="44"/>
      <c r="M232" s="44"/>
      <c r="N232" s="44"/>
      <c r="O232" s="46"/>
      <c r="P232" s="37"/>
      <c r="Q232" s="37"/>
    </row>
    <row r="233" spans="1:17" ht="30" customHeight="1" x14ac:dyDescent="0.25">
      <c r="A233" s="59" t="s">
        <v>250</v>
      </c>
      <c r="B233" s="66"/>
      <c r="C233" s="60"/>
      <c r="D233" s="50">
        <v>38806</v>
      </c>
      <c r="E233" s="40">
        <f t="shared" si="4"/>
        <v>2006</v>
      </c>
      <c r="F233" s="53">
        <v>9250000</v>
      </c>
      <c r="G233" s="43"/>
      <c r="H233" s="44"/>
      <c r="I233" s="90"/>
      <c r="J233" s="90"/>
      <c r="K233" s="90"/>
      <c r="L233" s="44"/>
      <c r="M233" s="44"/>
      <c r="N233" s="44"/>
      <c r="O233" s="46"/>
      <c r="P233" s="37"/>
      <c r="Q233" s="37"/>
    </row>
    <row r="234" spans="1:17" ht="30" customHeight="1" x14ac:dyDescent="0.25">
      <c r="A234" s="59" t="s">
        <v>251</v>
      </c>
      <c r="B234" s="66" t="s">
        <v>182</v>
      </c>
      <c r="C234" s="60"/>
      <c r="D234" s="50">
        <v>38718</v>
      </c>
      <c r="E234" s="40">
        <f t="shared" si="4"/>
        <v>2006</v>
      </c>
      <c r="F234" s="53">
        <v>3950000</v>
      </c>
      <c r="G234" s="67"/>
      <c r="H234" s="68"/>
      <c r="I234" s="90"/>
      <c r="J234" s="90"/>
      <c r="K234" s="90"/>
      <c r="L234" s="68"/>
      <c r="M234" s="68"/>
      <c r="N234" s="68"/>
      <c r="O234" s="46"/>
      <c r="P234" s="37"/>
      <c r="Q234" s="37"/>
    </row>
    <row r="235" spans="1:17" ht="30" customHeight="1" x14ac:dyDescent="0.25">
      <c r="A235" s="59" t="s">
        <v>252</v>
      </c>
      <c r="B235" s="66" t="s">
        <v>92</v>
      </c>
      <c r="C235" s="60"/>
      <c r="D235" s="50">
        <v>38687</v>
      </c>
      <c r="E235" s="40">
        <f t="shared" si="4"/>
        <v>2005</v>
      </c>
      <c r="F235" s="53">
        <v>11500000</v>
      </c>
      <c r="G235" s="67"/>
      <c r="H235" s="68"/>
      <c r="I235" s="90"/>
      <c r="J235" s="90"/>
      <c r="K235" s="90"/>
      <c r="L235" s="68"/>
      <c r="M235" s="68"/>
      <c r="N235" s="68"/>
      <c r="O235" s="69"/>
      <c r="P235" s="63"/>
      <c r="Q235" s="70">
        <v>1</v>
      </c>
    </row>
    <row r="236" spans="1:17" ht="30" customHeight="1" x14ac:dyDescent="0.25">
      <c r="A236" s="59" t="s">
        <v>254</v>
      </c>
      <c r="B236" s="66"/>
      <c r="C236" s="60"/>
      <c r="D236" s="50">
        <v>38687</v>
      </c>
      <c r="E236" s="40">
        <f t="shared" si="4"/>
        <v>2005</v>
      </c>
      <c r="F236" s="53">
        <v>8000000</v>
      </c>
      <c r="G236" s="67"/>
      <c r="H236" s="68"/>
      <c r="I236" s="90"/>
      <c r="J236" s="90"/>
      <c r="K236" s="90"/>
      <c r="L236" s="68"/>
      <c r="M236" s="68"/>
      <c r="N236" s="68"/>
      <c r="O236" s="46"/>
      <c r="P236" s="37"/>
      <c r="Q236" s="37"/>
    </row>
    <row r="237" spans="1:17" ht="30" customHeight="1" x14ac:dyDescent="0.25">
      <c r="A237" s="59" t="s">
        <v>255</v>
      </c>
      <c r="B237" s="66"/>
      <c r="C237" s="60"/>
      <c r="D237" s="50">
        <v>38671</v>
      </c>
      <c r="E237" s="40">
        <f t="shared" si="4"/>
        <v>2005</v>
      </c>
      <c r="F237" s="53">
        <v>3800000</v>
      </c>
      <c r="G237" s="67"/>
      <c r="H237" s="68"/>
      <c r="I237" s="90"/>
      <c r="J237" s="90"/>
      <c r="K237" s="90"/>
      <c r="L237" s="68"/>
      <c r="M237" s="68"/>
      <c r="N237" s="68"/>
      <c r="O237" s="46"/>
      <c r="P237" s="37"/>
      <c r="Q237" s="37"/>
    </row>
    <row r="238" spans="1:17" ht="30" customHeight="1" x14ac:dyDescent="0.25">
      <c r="A238" s="59" t="s">
        <v>256</v>
      </c>
      <c r="B238" s="66" t="s">
        <v>17</v>
      </c>
      <c r="C238" s="60"/>
      <c r="D238" s="50">
        <v>38657</v>
      </c>
      <c r="E238" s="40">
        <f t="shared" si="4"/>
        <v>2005</v>
      </c>
      <c r="F238" s="53">
        <v>9150000</v>
      </c>
      <c r="G238" s="67"/>
      <c r="H238" s="68"/>
      <c r="I238" s="90"/>
      <c r="J238" s="90"/>
      <c r="K238" s="90"/>
      <c r="L238" s="68"/>
      <c r="M238" s="68"/>
      <c r="N238" s="68"/>
      <c r="O238" s="46"/>
      <c r="P238" s="37"/>
      <c r="Q238" s="37"/>
    </row>
    <row r="239" spans="1:17" ht="30" customHeight="1" x14ac:dyDescent="0.25">
      <c r="A239" s="59" t="s">
        <v>257</v>
      </c>
      <c r="B239" s="66"/>
      <c r="C239" s="60"/>
      <c r="D239" s="50">
        <v>38657</v>
      </c>
      <c r="E239" s="40">
        <f t="shared" si="4"/>
        <v>2005</v>
      </c>
      <c r="F239" s="53">
        <v>1675000</v>
      </c>
      <c r="G239" s="67"/>
      <c r="H239" s="68"/>
      <c r="I239" s="90"/>
      <c r="J239" s="90"/>
      <c r="K239" s="90"/>
      <c r="L239" s="68"/>
      <c r="M239" s="68"/>
      <c r="N239" s="68"/>
      <c r="O239" s="46"/>
      <c r="P239" s="37"/>
      <c r="Q239" s="37"/>
    </row>
    <row r="240" spans="1:17" ht="30" customHeight="1" x14ac:dyDescent="0.25">
      <c r="A240" s="59" t="s">
        <v>258</v>
      </c>
      <c r="B240" s="66"/>
      <c r="C240" s="60"/>
      <c r="D240" s="50">
        <v>38626</v>
      </c>
      <c r="E240" s="40">
        <f t="shared" si="4"/>
        <v>2005</v>
      </c>
      <c r="F240" s="53">
        <v>11516700</v>
      </c>
      <c r="G240" s="67"/>
      <c r="H240" s="68"/>
      <c r="I240" s="90"/>
      <c r="J240" s="90"/>
      <c r="K240" s="90"/>
      <c r="L240" s="68"/>
      <c r="M240" s="68"/>
      <c r="N240" s="68"/>
      <c r="O240" s="46"/>
      <c r="P240" s="37"/>
      <c r="Q240" s="37"/>
    </row>
    <row r="241" spans="1:17" ht="30" customHeight="1" x14ac:dyDescent="0.25">
      <c r="A241" s="59" t="s">
        <v>259</v>
      </c>
      <c r="B241" s="66" t="s">
        <v>17</v>
      </c>
      <c r="C241" s="60"/>
      <c r="D241" s="50">
        <v>38595</v>
      </c>
      <c r="E241" s="40">
        <f t="shared" si="4"/>
        <v>2005</v>
      </c>
      <c r="F241" s="53">
        <v>13250000</v>
      </c>
      <c r="G241" s="67"/>
      <c r="H241" s="68"/>
      <c r="I241" s="90"/>
      <c r="J241" s="90"/>
      <c r="K241" s="90"/>
      <c r="L241" s="68"/>
      <c r="M241" s="68"/>
      <c r="N241" s="68"/>
      <c r="O241" s="46"/>
      <c r="P241" s="37"/>
      <c r="Q241" s="37"/>
    </row>
    <row r="242" spans="1:17" ht="30" customHeight="1" x14ac:dyDescent="0.25">
      <c r="A242" s="59" t="s">
        <v>260</v>
      </c>
      <c r="B242" s="66" t="s">
        <v>17</v>
      </c>
      <c r="C242" s="60"/>
      <c r="D242" s="50">
        <v>38595</v>
      </c>
      <c r="E242" s="40">
        <f t="shared" si="4"/>
        <v>2005</v>
      </c>
      <c r="F242" s="53">
        <v>3650000</v>
      </c>
      <c r="G242" s="67"/>
      <c r="H242" s="68"/>
      <c r="I242" s="90"/>
      <c r="J242" s="90"/>
      <c r="K242" s="90"/>
      <c r="L242" s="68"/>
      <c r="M242" s="68"/>
      <c r="N242" s="68"/>
      <c r="O242" s="46"/>
      <c r="P242" s="37"/>
      <c r="Q242" s="37"/>
    </row>
    <row r="243" spans="1:17" ht="30" customHeight="1" x14ac:dyDescent="0.25">
      <c r="A243" s="59" t="s">
        <v>261</v>
      </c>
      <c r="B243" s="66" t="s">
        <v>20</v>
      </c>
      <c r="C243" s="60"/>
      <c r="D243" s="50">
        <v>38595</v>
      </c>
      <c r="E243" s="40">
        <f t="shared" si="4"/>
        <v>2005</v>
      </c>
      <c r="F243" s="53">
        <v>22500000</v>
      </c>
      <c r="G243" s="67"/>
      <c r="H243" s="68"/>
      <c r="I243" s="90"/>
      <c r="J243" s="90"/>
      <c r="K243" s="90"/>
      <c r="L243" s="68"/>
      <c r="M243" s="68"/>
      <c r="N243" s="68"/>
      <c r="O243" s="46"/>
      <c r="P243" s="37"/>
      <c r="Q243" s="37"/>
    </row>
    <row r="244" spans="1:17" ht="30" customHeight="1" x14ac:dyDescent="0.25">
      <c r="A244" s="59" t="s">
        <v>262</v>
      </c>
      <c r="B244" s="66" t="s">
        <v>20</v>
      </c>
      <c r="C244" s="60"/>
      <c r="D244" s="50">
        <v>38595</v>
      </c>
      <c r="E244" s="40">
        <f t="shared" si="4"/>
        <v>2005</v>
      </c>
      <c r="F244" s="53">
        <v>15000000</v>
      </c>
      <c r="G244" s="67"/>
      <c r="H244" s="68"/>
      <c r="I244" s="90"/>
      <c r="J244" s="90"/>
      <c r="K244" s="90"/>
      <c r="L244" s="68"/>
      <c r="M244" s="68"/>
      <c r="N244" s="68"/>
      <c r="O244" s="46"/>
      <c r="P244" s="37"/>
      <c r="Q244" s="37"/>
    </row>
    <row r="245" spans="1:17" ht="30" customHeight="1" x14ac:dyDescent="0.25">
      <c r="A245" s="59" t="s">
        <v>263</v>
      </c>
      <c r="B245" s="66" t="s">
        <v>17</v>
      </c>
      <c r="C245" s="60"/>
      <c r="D245" s="50">
        <v>38579</v>
      </c>
      <c r="E245" s="40">
        <f t="shared" si="4"/>
        <v>2005</v>
      </c>
      <c r="F245" s="53">
        <v>10500000</v>
      </c>
      <c r="G245" s="67"/>
      <c r="H245" s="68"/>
      <c r="I245" s="90"/>
      <c r="J245" s="90"/>
      <c r="K245" s="90"/>
      <c r="L245" s="68"/>
      <c r="M245" s="68"/>
      <c r="N245" s="68"/>
      <c r="O245" s="46"/>
      <c r="P245" s="37"/>
      <c r="Q245" s="37"/>
    </row>
    <row r="246" spans="1:17" ht="30" customHeight="1" x14ac:dyDescent="0.25">
      <c r="A246" s="59" t="s">
        <v>148</v>
      </c>
      <c r="B246" s="66"/>
      <c r="C246" s="60"/>
      <c r="D246" s="50">
        <v>38564</v>
      </c>
      <c r="E246" s="40">
        <f t="shared" si="4"/>
        <v>2005</v>
      </c>
      <c r="F246" s="53">
        <v>7700000</v>
      </c>
      <c r="G246" s="67"/>
      <c r="H246" s="68"/>
      <c r="I246" s="90"/>
      <c r="J246" s="90"/>
      <c r="K246" s="90"/>
      <c r="L246" s="68"/>
      <c r="M246" s="68"/>
      <c r="N246" s="68"/>
      <c r="O246" s="46"/>
      <c r="P246" s="37"/>
      <c r="Q246" s="37"/>
    </row>
    <row r="247" spans="1:17" ht="30" customHeight="1" x14ac:dyDescent="0.25">
      <c r="A247" s="59" t="s">
        <v>264</v>
      </c>
      <c r="B247" s="66" t="s">
        <v>165</v>
      </c>
      <c r="C247" s="60"/>
      <c r="D247" s="50">
        <v>38487</v>
      </c>
      <c r="E247" s="40">
        <f t="shared" si="4"/>
        <v>2005</v>
      </c>
      <c r="F247" s="53">
        <v>23100000</v>
      </c>
      <c r="G247" s="67"/>
      <c r="H247" s="68"/>
      <c r="I247" s="90"/>
      <c r="J247" s="90"/>
      <c r="K247" s="90"/>
      <c r="L247" s="68"/>
      <c r="M247" s="68"/>
      <c r="N247" s="68"/>
      <c r="O247" s="46"/>
      <c r="P247" s="37"/>
      <c r="Q247" s="37"/>
    </row>
    <row r="248" spans="1:17" ht="30" customHeight="1" x14ac:dyDescent="0.25">
      <c r="A248" s="59" t="s">
        <v>265</v>
      </c>
      <c r="B248" s="66" t="s">
        <v>117</v>
      </c>
      <c r="C248" s="60"/>
      <c r="D248" s="50">
        <v>38487</v>
      </c>
      <c r="E248" s="40">
        <f t="shared" si="4"/>
        <v>2005</v>
      </c>
      <c r="F248" s="53">
        <v>13000000</v>
      </c>
      <c r="G248" s="67"/>
      <c r="H248" s="68"/>
      <c r="I248" s="90"/>
      <c r="J248" s="90"/>
      <c r="K248" s="90"/>
      <c r="L248" s="68"/>
      <c r="M248" s="68"/>
      <c r="N248" s="68"/>
      <c r="O248" s="46"/>
      <c r="P248" s="37"/>
      <c r="Q248" s="37"/>
    </row>
    <row r="249" spans="1:17" ht="30" customHeight="1" x14ac:dyDescent="0.25">
      <c r="A249" s="59" t="s">
        <v>266</v>
      </c>
      <c r="B249" s="66" t="s">
        <v>165</v>
      </c>
      <c r="C249" s="60"/>
      <c r="D249" s="50">
        <v>38487</v>
      </c>
      <c r="E249" s="40">
        <f t="shared" si="4"/>
        <v>2005</v>
      </c>
      <c r="F249" s="53">
        <v>6500000</v>
      </c>
      <c r="G249" s="67"/>
      <c r="H249" s="68"/>
      <c r="I249" s="90"/>
      <c r="J249" s="90"/>
      <c r="K249" s="90"/>
      <c r="L249" s="68"/>
      <c r="M249" s="68"/>
      <c r="N249" s="68"/>
      <c r="O249" s="46"/>
      <c r="P249" s="37"/>
      <c r="Q249" s="37"/>
    </row>
    <row r="250" spans="1:17" ht="30" customHeight="1" x14ac:dyDescent="0.25">
      <c r="A250" s="59" t="s">
        <v>267</v>
      </c>
      <c r="B250" s="66" t="s">
        <v>165</v>
      </c>
      <c r="C250" s="60"/>
      <c r="D250" s="50">
        <v>38487</v>
      </c>
      <c r="E250" s="40">
        <f t="shared" si="4"/>
        <v>2005</v>
      </c>
      <c r="F250" s="53">
        <v>2000000</v>
      </c>
      <c r="G250" s="67"/>
      <c r="H250" s="68"/>
      <c r="I250" s="90"/>
      <c r="J250" s="90"/>
      <c r="K250" s="90"/>
      <c r="L250" s="68"/>
      <c r="M250" s="68"/>
      <c r="N250" s="68"/>
      <c r="O250" s="46"/>
      <c r="P250" s="37"/>
      <c r="Q250" s="37"/>
    </row>
    <row r="251" spans="1:17" ht="30" customHeight="1" x14ac:dyDescent="0.25">
      <c r="A251" s="59" t="s">
        <v>268</v>
      </c>
      <c r="B251" s="66" t="s">
        <v>117</v>
      </c>
      <c r="C251" s="60"/>
      <c r="D251" s="50">
        <v>38457</v>
      </c>
      <c r="E251" s="40">
        <f t="shared" si="4"/>
        <v>2005</v>
      </c>
      <c r="F251" s="53">
        <v>3800000</v>
      </c>
      <c r="G251" s="67"/>
      <c r="H251" s="68"/>
      <c r="I251" s="90"/>
      <c r="J251" s="90"/>
      <c r="K251" s="90"/>
      <c r="L251" s="68"/>
      <c r="M251" s="68"/>
      <c r="N251" s="68"/>
      <c r="O251" s="46"/>
      <c r="P251" s="37"/>
      <c r="Q251" s="37"/>
    </row>
    <row r="252" spans="1:17" ht="30" customHeight="1" x14ac:dyDescent="0.25">
      <c r="A252" s="59" t="s">
        <v>269</v>
      </c>
      <c r="B252" s="66" t="s">
        <v>117</v>
      </c>
      <c r="C252" s="60"/>
      <c r="D252" s="50">
        <v>38442</v>
      </c>
      <c r="E252" s="40">
        <f t="shared" si="4"/>
        <v>2005</v>
      </c>
      <c r="F252" s="53">
        <v>5900000</v>
      </c>
      <c r="G252" s="67"/>
      <c r="H252" s="68"/>
      <c r="I252" s="90"/>
      <c r="J252" s="90"/>
      <c r="K252" s="90"/>
      <c r="L252" s="68"/>
      <c r="M252" s="68"/>
      <c r="N252" s="68"/>
      <c r="O252" s="46"/>
      <c r="P252" s="37"/>
      <c r="Q252" s="37"/>
    </row>
    <row r="253" spans="1:17" ht="30" customHeight="1" x14ac:dyDescent="0.25">
      <c r="A253" s="59" t="s">
        <v>270</v>
      </c>
      <c r="B253" s="66"/>
      <c r="C253" s="60"/>
      <c r="D253" s="50">
        <v>38426</v>
      </c>
      <c r="E253" s="40">
        <f t="shared" si="4"/>
        <v>2005</v>
      </c>
      <c r="F253" s="53">
        <v>9700000</v>
      </c>
      <c r="G253" s="67"/>
      <c r="H253" s="68"/>
      <c r="I253" s="90"/>
      <c r="J253" s="90"/>
      <c r="K253" s="90"/>
      <c r="L253" s="68"/>
      <c r="M253" s="68"/>
      <c r="N253" s="68"/>
      <c r="O253" s="46"/>
      <c r="P253" s="37"/>
      <c r="Q253" s="37"/>
    </row>
    <row r="254" spans="1:17" ht="30" customHeight="1" x14ac:dyDescent="0.25">
      <c r="A254" s="59" t="s">
        <v>271</v>
      </c>
      <c r="B254" s="66"/>
      <c r="C254" s="60"/>
      <c r="D254" s="50">
        <v>38426</v>
      </c>
      <c r="E254" s="40">
        <f t="shared" si="4"/>
        <v>2005</v>
      </c>
      <c r="F254" s="53">
        <v>1940000</v>
      </c>
      <c r="G254" s="67"/>
      <c r="H254" s="68"/>
      <c r="I254" s="90"/>
      <c r="J254" s="90"/>
      <c r="K254" s="90"/>
      <c r="L254" s="68"/>
      <c r="M254" s="68"/>
      <c r="N254" s="68"/>
      <c r="O254" s="46"/>
      <c r="P254" s="37"/>
      <c r="Q254" s="37"/>
    </row>
    <row r="255" spans="1:17" ht="30" customHeight="1" x14ac:dyDescent="0.25">
      <c r="A255" s="59" t="s">
        <v>272</v>
      </c>
      <c r="B255" s="66"/>
      <c r="C255" s="60"/>
      <c r="D255" s="50">
        <v>38398</v>
      </c>
      <c r="E255" s="40">
        <f t="shared" si="4"/>
        <v>2005</v>
      </c>
      <c r="F255" s="53">
        <v>7250000</v>
      </c>
      <c r="G255" s="67"/>
      <c r="H255" s="68"/>
      <c r="I255" s="90"/>
      <c r="J255" s="90"/>
      <c r="K255" s="90"/>
      <c r="L255" s="68"/>
      <c r="M255" s="68"/>
      <c r="N255" s="68"/>
      <c r="O255" s="46"/>
      <c r="P255" s="37"/>
      <c r="Q255" s="37"/>
    </row>
    <row r="256" spans="1:17" ht="30" customHeight="1" x14ac:dyDescent="0.25">
      <c r="A256" s="59" t="s">
        <v>54</v>
      </c>
      <c r="B256" s="66"/>
      <c r="C256" s="60"/>
      <c r="D256" s="50">
        <v>38352</v>
      </c>
      <c r="E256" s="40">
        <f t="shared" si="4"/>
        <v>2004</v>
      </c>
      <c r="F256" s="53">
        <v>915000</v>
      </c>
      <c r="G256" s="67"/>
      <c r="H256" s="68"/>
      <c r="I256" s="90"/>
      <c r="J256" s="90"/>
      <c r="K256" s="90"/>
      <c r="L256" s="68"/>
      <c r="M256" s="68"/>
      <c r="N256" s="68"/>
      <c r="O256" s="46"/>
      <c r="P256" s="37"/>
      <c r="Q256" s="37"/>
    </row>
    <row r="257" spans="1:17" ht="30" customHeight="1" x14ac:dyDescent="0.25">
      <c r="A257" s="59" t="s">
        <v>163</v>
      </c>
      <c r="B257" s="66"/>
      <c r="C257" s="60"/>
      <c r="D257" s="50">
        <v>38336</v>
      </c>
      <c r="E257" s="40">
        <f t="shared" si="4"/>
        <v>2004</v>
      </c>
      <c r="F257" s="53">
        <v>23000000</v>
      </c>
      <c r="G257" s="67"/>
      <c r="H257" s="68"/>
      <c r="I257" s="90"/>
      <c r="J257" s="90"/>
      <c r="K257" s="90"/>
      <c r="L257" s="68"/>
      <c r="M257" s="68"/>
      <c r="N257" s="68"/>
      <c r="O257" s="46"/>
      <c r="P257" s="37"/>
      <c r="Q257" s="37"/>
    </row>
    <row r="258" spans="1:17" ht="30" customHeight="1" x14ac:dyDescent="0.25">
      <c r="A258" s="59" t="s">
        <v>273</v>
      </c>
      <c r="B258" s="66"/>
      <c r="C258" s="60"/>
      <c r="D258" s="50">
        <v>38336</v>
      </c>
      <c r="E258" s="40">
        <f t="shared" si="4"/>
        <v>2004</v>
      </c>
      <c r="F258" s="53">
        <v>5350000</v>
      </c>
      <c r="G258" s="67"/>
      <c r="H258" s="68"/>
      <c r="I258" s="90"/>
      <c r="J258" s="90"/>
      <c r="K258" s="90"/>
      <c r="L258" s="68"/>
      <c r="M258" s="68"/>
      <c r="N258" s="68"/>
      <c r="O258" s="46"/>
      <c r="P258" s="37"/>
      <c r="Q258" s="37"/>
    </row>
    <row r="259" spans="1:17" ht="30" customHeight="1" x14ac:dyDescent="0.25">
      <c r="A259" s="59" t="s">
        <v>274</v>
      </c>
      <c r="B259" s="66"/>
      <c r="C259" s="60"/>
      <c r="D259" s="50">
        <v>38336</v>
      </c>
      <c r="E259" s="40">
        <f t="shared" si="4"/>
        <v>2004</v>
      </c>
      <c r="F259" s="53">
        <v>4000000</v>
      </c>
      <c r="G259" s="67"/>
      <c r="H259" s="68"/>
      <c r="I259" s="90"/>
      <c r="J259" s="90"/>
      <c r="K259" s="90"/>
      <c r="L259" s="68"/>
      <c r="M259" s="68"/>
      <c r="N259" s="68"/>
      <c r="O259" s="46"/>
      <c r="P259" s="37"/>
      <c r="Q259" s="37"/>
    </row>
    <row r="260" spans="1:17" ht="30" customHeight="1" x14ac:dyDescent="0.25">
      <c r="A260" s="59" t="s">
        <v>275</v>
      </c>
      <c r="B260" s="66"/>
      <c r="C260" s="60"/>
      <c r="D260" s="50">
        <v>38321</v>
      </c>
      <c r="E260" s="40">
        <f t="shared" si="4"/>
        <v>2004</v>
      </c>
      <c r="F260" s="53">
        <v>20000000</v>
      </c>
      <c r="G260" s="67"/>
      <c r="H260" s="68"/>
      <c r="I260" s="90"/>
      <c r="J260" s="90"/>
      <c r="K260" s="90"/>
      <c r="L260" s="68"/>
      <c r="M260" s="68"/>
      <c r="N260" s="68"/>
      <c r="O260" s="46"/>
      <c r="P260" s="37"/>
      <c r="Q260" s="37"/>
    </row>
    <row r="261" spans="1:17" ht="30" customHeight="1" x14ac:dyDescent="0.25">
      <c r="A261" s="59" t="s">
        <v>276</v>
      </c>
      <c r="B261" s="66"/>
      <c r="C261" s="60"/>
      <c r="D261" s="50">
        <v>38321</v>
      </c>
      <c r="E261" s="40">
        <f t="shared" ref="E261:E281" si="5">YEAR(D261)</f>
        <v>2004</v>
      </c>
      <c r="F261" s="53">
        <v>5400000</v>
      </c>
      <c r="G261" s="67"/>
      <c r="H261" s="68"/>
      <c r="I261" s="90"/>
      <c r="J261" s="90"/>
      <c r="K261" s="90"/>
      <c r="L261" s="68"/>
      <c r="M261" s="68"/>
      <c r="N261" s="68"/>
      <c r="O261" s="46"/>
      <c r="P261" s="37"/>
      <c r="Q261" s="37"/>
    </row>
    <row r="262" spans="1:17" ht="30" customHeight="1" x14ac:dyDescent="0.25">
      <c r="A262" s="59" t="s">
        <v>277</v>
      </c>
      <c r="B262" s="66" t="s">
        <v>134</v>
      </c>
      <c r="C262" s="60"/>
      <c r="D262" s="50">
        <v>38306</v>
      </c>
      <c r="E262" s="40">
        <f t="shared" si="5"/>
        <v>2004</v>
      </c>
      <c r="F262" s="53">
        <v>51000000</v>
      </c>
      <c r="G262" s="67"/>
      <c r="H262" s="68"/>
      <c r="I262" s="90"/>
      <c r="J262" s="90"/>
      <c r="K262" s="90"/>
      <c r="L262" s="68"/>
      <c r="M262" s="68"/>
      <c r="N262" s="68"/>
      <c r="O262" s="46"/>
      <c r="P262" s="37"/>
      <c r="Q262" s="37"/>
    </row>
    <row r="263" spans="1:17" ht="30" customHeight="1" x14ac:dyDescent="0.25">
      <c r="A263" s="59" t="s">
        <v>278</v>
      </c>
      <c r="B263" s="66" t="s">
        <v>20</v>
      </c>
      <c r="C263" s="60"/>
      <c r="D263" s="50">
        <v>38275</v>
      </c>
      <c r="E263" s="40">
        <f t="shared" si="5"/>
        <v>2004</v>
      </c>
      <c r="F263" s="53">
        <v>8675000</v>
      </c>
      <c r="G263" s="67"/>
      <c r="H263" s="68"/>
      <c r="I263" s="90"/>
      <c r="J263" s="90"/>
      <c r="K263" s="90"/>
      <c r="L263" s="68"/>
      <c r="M263" s="68"/>
      <c r="N263" s="68"/>
      <c r="O263" s="46"/>
      <c r="P263" s="37"/>
      <c r="Q263" s="37"/>
    </row>
    <row r="264" spans="1:17" ht="30" customHeight="1" x14ac:dyDescent="0.25">
      <c r="A264" s="59" t="s">
        <v>249</v>
      </c>
      <c r="B264" s="66" t="s">
        <v>20</v>
      </c>
      <c r="C264" s="60"/>
      <c r="D264" s="50">
        <v>38230</v>
      </c>
      <c r="E264" s="40">
        <f t="shared" si="5"/>
        <v>2004</v>
      </c>
      <c r="F264" s="53">
        <v>19250000</v>
      </c>
      <c r="G264" s="67"/>
      <c r="H264" s="68"/>
      <c r="I264" s="90"/>
      <c r="J264" s="90"/>
      <c r="K264" s="90"/>
      <c r="L264" s="68"/>
      <c r="M264" s="68"/>
      <c r="N264" s="68"/>
      <c r="O264" s="46"/>
      <c r="P264" s="37"/>
      <c r="Q264" s="37"/>
    </row>
    <row r="265" spans="1:17" ht="30" customHeight="1" x14ac:dyDescent="0.25">
      <c r="A265" s="59" t="s">
        <v>279</v>
      </c>
      <c r="B265" s="66" t="s">
        <v>22</v>
      </c>
      <c r="C265" s="60"/>
      <c r="D265" s="50">
        <v>38199</v>
      </c>
      <c r="E265" s="40">
        <f t="shared" si="5"/>
        <v>2004</v>
      </c>
      <c r="F265" s="53">
        <v>7100000</v>
      </c>
      <c r="G265" s="67"/>
      <c r="H265" s="68"/>
      <c r="I265" s="90"/>
      <c r="J265" s="90"/>
      <c r="K265" s="90"/>
      <c r="L265" s="68"/>
      <c r="M265" s="68"/>
      <c r="N265" s="68"/>
      <c r="O265" s="46"/>
      <c r="P265" s="37"/>
      <c r="Q265" s="37"/>
    </row>
    <row r="266" spans="1:17" ht="30" customHeight="1" x14ac:dyDescent="0.25">
      <c r="A266" s="59" t="s">
        <v>280</v>
      </c>
      <c r="B266" s="66"/>
      <c r="C266" s="60"/>
      <c r="D266" s="50">
        <v>38168</v>
      </c>
      <c r="E266" s="40">
        <f t="shared" si="5"/>
        <v>2004</v>
      </c>
      <c r="F266" s="53">
        <v>15000000</v>
      </c>
      <c r="G266" s="67"/>
      <c r="H266" s="68"/>
      <c r="I266" s="90"/>
      <c r="J266" s="90"/>
      <c r="K266" s="90"/>
      <c r="L266" s="68"/>
      <c r="M266" s="68"/>
      <c r="N266" s="68"/>
      <c r="O266" s="46"/>
      <c r="P266" s="37"/>
      <c r="Q266" s="37"/>
    </row>
    <row r="267" spans="1:17" ht="30" customHeight="1" x14ac:dyDescent="0.25">
      <c r="A267" s="59" t="s">
        <v>281</v>
      </c>
      <c r="B267" s="66" t="s">
        <v>165</v>
      </c>
      <c r="C267" s="60"/>
      <c r="D267" s="50">
        <v>38168</v>
      </c>
      <c r="E267" s="40">
        <f t="shared" si="5"/>
        <v>2004</v>
      </c>
      <c r="F267" s="53">
        <v>8300000</v>
      </c>
      <c r="G267" s="67"/>
      <c r="H267" s="68"/>
      <c r="I267" s="90"/>
      <c r="J267" s="90"/>
      <c r="K267" s="90"/>
      <c r="L267" s="68"/>
      <c r="M267" s="68"/>
      <c r="N267" s="68"/>
      <c r="O267" s="71"/>
      <c r="P267" s="37"/>
      <c r="Q267" s="37"/>
    </row>
    <row r="268" spans="1:17" ht="30" customHeight="1" x14ac:dyDescent="0.25">
      <c r="A268" s="59" t="s">
        <v>282</v>
      </c>
      <c r="B268" s="66"/>
      <c r="C268" s="60"/>
      <c r="D268" s="50">
        <v>38168</v>
      </c>
      <c r="E268" s="40">
        <f t="shared" si="5"/>
        <v>2004</v>
      </c>
      <c r="F268" s="53">
        <v>3250000</v>
      </c>
      <c r="G268" s="67"/>
      <c r="H268" s="68"/>
      <c r="I268" s="90"/>
      <c r="J268" s="90"/>
      <c r="K268" s="90"/>
      <c r="L268" s="68"/>
      <c r="M268" s="68"/>
      <c r="N268" s="68"/>
      <c r="O268" s="46"/>
      <c r="P268" s="37"/>
      <c r="Q268" s="37"/>
    </row>
    <row r="269" spans="1:17" ht="30" customHeight="1" x14ac:dyDescent="0.25">
      <c r="A269" s="59" t="s">
        <v>283</v>
      </c>
      <c r="B269" s="66" t="s">
        <v>117</v>
      </c>
      <c r="C269" s="60"/>
      <c r="D269" s="50">
        <v>38153</v>
      </c>
      <c r="E269" s="40">
        <f t="shared" si="5"/>
        <v>2004</v>
      </c>
      <c r="F269" s="53">
        <v>9050000</v>
      </c>
      <c r="G269" s="67"/>
      <c r="H269" s="68"/>
      <c r="I269" s="90"/>
      <c r="J269" s="90"/>
      <c r="K269" s="90"/>
      <c r="L269" s="68"/>
      <c r="M269" s="68"/>
      <c r="N269" s="68"/>
      <c r="O269" s="46"/>
      <c r="P269" s="37"/>
      <c r="Q269" s="37"/>
    </row>
    <row r="270" spans="1:17" ht="30" customHeight="1" x14ac:dyDescent="0.25">
      <c r="A270" s="59" t="s">
        <v>284</v>
      </c>
      <c r="B270" s="66" t="s">
        <v>134</v>
      </c>
      <c r="C270" s="60"/>
      <c r="D270" s="50">
        <v>38092</v>
      </c>
      <c r="E270" s="40">
        <f t="shared" si="5"/>
        <v>2004</v>
      </c>
      <c r="F270" s="53">
        <v>22000000</v>
      </c>
      <c r="G270" s="67"/>
      <c r="H270" s="68"/>
      <c r="I270" s="90"/>
      <c r="J270" s="90"/>
      <c r="K270" s="90"/>
      <c r="L270" s="68"/>
      <c r="M270" s="68"/>
      <c r="N270" s="68"/>
      <c r="O270" s="46"/>
      <c r="P270" s="37"/>
      <c r="Q270" s="37"/>
    </row>
    <row r="271" spans="1:17" ht="30" customHeight="1" x14ac:dyDescent="0.25">
      <c r="A271" s="38" t="s">
        <v>285</v>
      </c>
      <c r="B271" s="39"/>
      <c r="C271" s="40"/>
      <c r="D271" s="50">
        <v>38061</v>
      </c>
      <c r="E271" s="40">
        <f t="shared" si="5"/>
        <v>2004</v>
      </c>
      <c r="F271" s="53">
        <v>2275000</v>
      </c>
      <c r="G271" s="67"/>
      <c r="H271" s="68"/>
      <c r="I271" s="90"/>
      <c r="J271" s="90"/>
      <c r="K271" s="90"/>
      <c r="L271" s="68"/>
      <c r="M271" s="68"/>
      <c r="N271" s="68"/>
      <c r="O271" s="46"/>
      <c r="P271" s="37"/>
      <c r="Q271" s="37"/>
    </row>
    <row r="272" spans="1:17" ht="30" customHeight="1" x14ac:dyDescent="0.25">
      <c r="A272" s="59" t="s">
        <v>286</v>
      </c>
      <c r="B272" s="66"/>
      <c r="C272" s="60"/>
      <c r="D272" s="50">
        <v>38001</v>
      </c>
      <c r="E272" s="40">
        <f t="shared" si="5"/>
        <v>2004</v>
      </c>
      <c r="F272" s="53">
        <v>2270000</v>
      </c>
      <c r="G272" s="67"/>
      <c r="H272" s="68"/>
      <c r="I272" s="90"/>
      <c r="J272" s="90"/>
      <c r="K272" s="90"/>
      <c r="L272" s="68"/>
      <c r="M272" s="68"/>
      <c r="N272" s="68"/>
      <c r="O272" s="46"/>
      <c r="P272" s="37"/>
      <c r="Q272" s="37"/>
    </row>
    <row r="273" spans="1:19" ht="30" customHeight="1" x14ac:dyDescent="0.25">
      <c r="A273" s="59" t="s">
        <v>287</v>
      </c>
      <c r="B273" s="66" t="s">
        <v>17</v>
      </c>
      <c r="C273" s="60"/>
      <c r="D273" s="50">
        <v>37955</v>
      </c>
      <c r="E273" s="40">
        <f t="shared" si="5"/>
        <v>2003</v>
      </c>
      <c r="F273" s="53">
        <v>4500000</v>
      </c>
      <c r="G273" s="67"/>
      <c r="H273" s="68"/>
      <c r="I273" s="90"/>
      <c r="J273" s="90"/>
      <c r="K273" s="90"/>
      <c r="L273" s="68"/>
      <c r="M273" s="68"/>
      <c r="N273" s="68"/>
      <c r="O273" s="46"/>
      <c r="P273" s="37"/>
      <c r="Q273" s="37"/>
    </row>
    <row r="274" spans="1:19" ht="30" customHeight="1" x14ac:dyDescent="0.25">
      <c r="A274" s="59" t="s">
        <v>288</v>
      </c>
      <c r="B274" s="66" t="s">
        <v>165</v>
      </c>
      <c r="C274" s="60"/>
      <c r="D274" s="50">
        <v>37909</v>
      </c>
      <c r="E274" s="40">
        <f t="shared" si="5"/>
        <v>2003</v>
      </c>
      <c r="F274" s="51">
        <v>3025000</v>
      </c>
      <c r="G274" s="72"/>
      <c r="H274" s="73"/>
      <c r="I274" s="90"/>
      <c r="J274" s="90"/>
      <c r="K274" s="90"/>
      <c r="L274" s="73"/>
      <c r="M274" s="73"/>
      <c r="N274" s="73"/>
      <c r="O274" s="46"/>
      <c r="P274" s="37"/>
      <c r="Q274" s="37"/>
    </row>
    <row r="275" spans="1:19" ht="30" customHeight="1" x14ac:dyDescent="0.25">
      <c r="A275" s="59" t="s">
        <v>289</v>
      </c>
      <c r="B275" s="66"/>
      <c r="C275" s="60"/>
      <c r="D275" s="50">
        <v>37848</v>
      </c>
      <c r="E275" s="40">
        <f t="shared" si="5"/>
        <v>2003</v>
      </c>
      <c r="F275" s="53">
        <v>8200000</v>
      </c>
      <c r="G275" s="67"/>
      <c r="H275" s="68"/>
      <c r="I275" s="90"/>
      <c r="J275" s="90"/>
      <c r="K275" s="90"/>
      <c r="L275" s="68"/>
      <c r="M275" s="68"/>
      <c r="N275" s="68"/>
      <c r="O275" s="46"/>
      <c r="P275" s="37"/>
      <c r="Q275" s="37"/>
    </row>
    <row r="276" spans="1:19" ht="30" customHeight="1" x14ac:dyDescent="0.25">
      <c r="A276" s="59" t="s">
        <v>290</v>
      </c>
      <c r="B276" s="66" t="s">
        <v>20</v>
      </c>
      <c r="C276" s="60"/>
      <c r="D276" s="50">
        <v>37848</v>
      </c>
      <c r="E276" s="40">
        <f t="shared" si="5"/>
        <v>2003</v>
      </c>
      <c r="F276" s="53">
        <v>4850000</v>
      </c>
      <c r="G276" s="67"/>
      <c r="H276" s="68"/>
      <c r="I276" s="90"/>
      <c r="J276" s="90"/>
      <c r="K276" s="90"/>
      <c r="L276" s="68"/>
      <c r="M276" s="68"/>
      <c r="N276" s="68"/>
      <c r="O276" s="46"/>
      <c r="P276" s="37"/>
      <c r="Q276" s="37"/>
    </row>
    <row r="277" spans="1:19" ht="30" customHeight="1" x14ac:dyDescent="0.25">
      <c r="A277" s="59" t="s">
        <v>291</v>
      </c>
      <c r="B277" s="66"/>
      <c r="C277" s="60"/>
      <c r="D277" s="50">
        <v>37833</v>
      </c>
      <c r="E277" s="40">
        <f t="shared" si="5"/>
        <v>2003</v>
      </c>
      <c r="F277" s="53">
        <v>1400000</v>
      </c>
      <c r="G277" s="74"/>
      <c r="H277" s="75"/>
      <c r="I277" s="90"/>
      <c r="J277" s="90"/>
      <c r="K277" s="90"/>
      <c r="L277" s="75"/>
      <c r="M277" s="75"/>
      <c r="N277" s="75"/>
      <c r="O277" s="46"/>
      <c r="P277" s="37"/>
      <c r="Q277" s="37"/>
    </row>
    <row r="278" spans="1:19" ht="30" customHeight="1" x14ac:dyDescent="0.25">
      <c r="A278" s="38" t="s">
        <v>292</v>
      </c>
      <c r="B278" s="39"/>
      <c r="C278" s="40"/>
      <c r="D278" s="50">
        <v>37833</v>
      </c>
      <c r="E278" s="40">
        <f t="shared" si="5"/>
        <v>2003</v>
      </c>
      <c r="F278" s="51">
        <v>500000</v>
      </c>
      <c r="G278" s="76"/>
      <c r="H278" s="77"/>
      <c r="I278" s="90"/>
      <c r="J278" s="90"/>
      <c r="K278" s="90"/>
      <c r="L278" s="77"/>
      <c r="M278" s="77"/>
      <c r="N278" s="77"/>
      <c r="O278" s="46"/>
      <c r="P278" s="37"/>
      <c r="Q278" s="37"/>
    </row>
    <row r="279" spans="1:19" ht="30" customHeight="1" x14ac:dyDescent="0.25">
      <c r="A279" s="38" t="s">
        <v>293</v>
      </c>
      <c r="B279" s="39"/>
      <c r="C279" s="40"/>
      <c r="D279" s="50">
        <v>37787</v>
      </c>
      <c r="E279" s="40">
        <f t="shared" si="5"/>
        <v>2003</v>
      </c>
      <c r="F279" s="51">
        <v>8500000</v>
      </c>
      <c r="G279" s="78"/>
      <c r="H279" s="79"/>
      <c r="I279" s="90"/>
      <c r="J279" s="90"/>
      <c r="K279" s="90"/>
      <c r="L279" s="79"/>
      <c r="M279" s="79"/>
      <c r="N279" s="79"/>
      <c r="O279" s="46"/>
      <c r="P279" s="37"/>
      <c r="Q279" s="37"/>
    </row>
    <row r="280" spans="1:19" ht="30" customHeight="1" x14ac:dyDescent="0.25">
      <c r="A280" s="38" t="s">
        <v>294</v>
      </c>
      <c r="B280" s="39"/>
      <c r="C280" s="40"/>
      <c r="D280" s="50">
        <v>37726</v>
      </c>
      <c r="E280" s="40">
        <f t="shared" si="5"/>
        <v>2003</v>
      </c>
      <c r="F280" s="51">
        <v>2200000</v>
      </c>
      <c r="G280" s="78"/>
      <c r="H280" s="79"/>
      <c r="I280" s="90"/>
      <c r="J280" s="90"/>
      <c r="K280" s="90"/>
      <c r="L280" s="79"/>
      <c r="M280" s="79"/>
      <c r="N280" s="79"/>
      <c r="O280" s="46"/>
      <c r="P280" s="37"/>
      <c r="Q280" s="37"/>
    </row>
    <row r="281" spans="1:19" ht="30" customHeight="1" x14ac:dyDescent="0.25">
      <c r="A281" s="80" t="s">
        <v>295</v>
      </c>
      <c r="B281" s="81"/>
      <c r="C281" s="82"/>
      <c r="D281" s="89">
        <v>37652</v>
      </c>
      <c r="E281" s="40">
        <f t="shared" si="5"/>
        <v>2003</v>
      </c>
      <c r="F281" s="83">
        <v>1800000</v>
      </c>
      <c r="G281" s="78"/>
      <c r="H281" s="79"/>
      <c r="I281" s="90"/>
      <c r="J281" s="90"/>
      <c r="K281" s="90"/>
      <c r="L281" s="79"/>
      <c r="M281" s="79"/>
      <c r="N281" s="79"/>
      <c r="O281" s="46"/>
      <c r="P281" s="37"/>
      <c r="Q281" s="37"/>
    </row>
    <row r="282" spans="1:19" ht="30" customHeight="1" x14ac:dyDescent="0.25">
      <c r="A282" s="84" t="s">
        <v>306</v>
      </c>
      <c r="B282" s="85"/>
      <c r="C282" s="86"/>
      <c r="D282" s="85"/>
      <c r="E282" s="85"/>
      <c r="F282" s="87">
        <f>SUM(F8:F281)</f>
        <v>4384949315</v>
      </c>
      <c r="G282" s="87">
        <f t="shared" ref="G282:O282" si="6">SUM(G8:G281)</f>
        <v>52463</v>
      </c>
      <c r="H282" s="87">
        <f t="shared" si="6"/>
        <v>1054.4893826361792</v>
      </c>
      <c r="I282" s="90">
        <f t="shared" si="6"/>
        <v>0</v>
      </c>
      <c r="J282" s="90">
        <f t="shared" si="6"/>
        <v>0</v>
      </c>
      <c r="K282" s="90">
        <f t="shared" si="6"/>
        <v>0</v>
      </c>
      <c r="L282" s="87">
        <f t="shared" si="6"/>
        <v>0</v>
      </c>
      <c r="M282" s="87">
        <f t="shared" si="6"/>
        <v>0</v>
      </c>
      <c r="N282" s="87">
        <f t="shared" si="6"/>
        <v>0</v>
      </c>
      <c r="O282" s="87">
        <f t="shared" si="6"/>
        <v>0</v>
      </c>
      <c r="P282" s="37"/>
      <c r="Q282" s="37"/>
    </row>
    <row r="283" spans="1:19" x14ac:dyDescent="0.25">
      <c r="C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</row>
    <row r="284" spans="1:19" x14ac:dyDescent="0.25">
      <c r="C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</row>
    <row r="285" spans="1:19" x14ac:dyDescent="0.25">
      <c r="C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</row>
    <row r="286" spans="1:19" x14ac:dyDescent="0.25">
      <c r="C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</row>
    <row r="287" spans="1:19" x14ac:dyDescent="0.25">
      <c r="C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</row>
    <row r="288" spans="1:19" x14ac:dyDescent="0.25">
      <c r="C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</row>
    <row r="289" spans="3:19" x14ac:dyDescent="0.25">
      <c r="C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</row>
    <row r="290" spans="3:19" x14ac:dyDescent="0.25">
      <c r="C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</row>
    <row r="291" spans="3:19" x14ac:dyDescent="0.25">
      <c r="C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</row>
    <row r="292" spans="3:19" x14ac:dyDescent="0.25">
      <c r="C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</row>
    <row r="293" spans="3:19" x14ac:dyDescent="0.25">
      <c r="C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</row>
    <row r="294" spans="3:19" x14ac:dyDescent="0.25">
      <c r="C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</row>
    <row r="295" spans="3:19" x14ac:dyDescent="0.25">
      <c r="C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</row>
    <row r="296" spans="3:19" x14ac:dyDescent="0.25">
      <c r="C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</row>
    <row r="297" spans="3:19" x14ac:dyDescent="0.25">
      <c r="C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</row>
    <row r="298" spans="3:19" x14ac:dyDescent="0.25">
      <c r="C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</row>
  </sheetData>
  <autoFilter ref="A3:O282" xr:uid="{ED6588BD-A66A-4185-96AA-53FF3DD93F22}">
    <sortState xmlns:xlrd2="http://schemas.microsoft.com/office/spreadsheetml/2017/richdata2" ref="A4:O282">
      <sortCondition descending="1" ref="D3:D282"/>
    </sortState>
  </autoFilter>
  <pageMargins left="0.7" right="0.7" top="0.75" bottom="0.75" header="0.3" footer="0.3"/>
  <pageSetup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230E7-E494-409A-A295-5A4D7B4EA8D3}">
  <sheetPr>
    <pageSetUpPr fitToPage="1"/>
  </sheetPr>
  <dimension ref="A1:C8"/>
  <sheetViews>
    <sheetView view="pageBreakPreview" zoomScale="115" zoomScaleNormal="100" zoomScaleSheetLayoutView="115" workbookViewId="0">
      <selection activeCell="B6" sqref="B6"/>
    </sheetView>
  </sheetViews>
  <sheetFormatPr defaultRowHeight="15" x14ac:dyDescent="0.25"/>
  <cols>
    <col min="1" max="1" width="14.85546875" bestFit="1" customWidth="1"/>
    <col min="2" max="2" width="12.42578125" bestFit="1" customWidth="1"/>
    <col min="3" max="3" width="21.7109375" bestFit="1" customWidth="1"/>
    <col min="4" max="4" width="11.7109375" bestFit="1" customWidth="1"/>
    <col min="5" max="5" width="11.28515625" bestFit="1" customWidth="1"/>
    <col min="6" max="6" width="12.42578125" bestFit="1" customWidth="1"/>
    <col min="7" max="8" width="11.5703125" bestFit="1" customWidth="1"/>
    <col min="9" max="10" width="11.28515625" bestFit="1" customWidth="1"/>
    <col min="11" max="11" width="12.42578125" bestFit="1" customWidth="1"/>
    <col min="12" max="12" width="11.28515625" bestFit="1" customWidth="1"/>
    <col min="13" max="13" width="12.42578125" bestFit="1" customWidth="1"/>
    <col min="14" max="14" width="11.28515625" bestFit="1" customWidth="1"/>
    <col min="15" max="15" width="12.42578125" bestFit="1" customWidth="1"/>
    <col min="16" max="16" width="11.5703125" bestFit="1" customWidth="1"/>
    <col min="17" max="19" width="12.42578125" bestFit="1" customWidth="1"/>
    <col min="20" max="20" width="11.5703125" bestFit="1" customWidth="1"/>
    <col min="21" max="21" width="11.28515625" bestFit="1" customWidth="1"/>
    <col min="22" max="22" width="12.42578125" bestFit="1" customWidth="1"/>
    <col min="23" max="24" width="11.28515625" bestFit="1" customWidth="1"/>
    <col min="25" max="25" width="12.42578125" bestFit="1" customWidth="1"/>
    <col min="26" max="26" width="11.28515625" bestFit="1" customWidth="1"/>
    <col min="27" max="30" width="12.42578125" bestFit="1" customWidth="1"/>
    <col min="31" max="31" width="11.5703125" bestFit="1" customWidth="1"/>
    <col min="32" max="32" width="12.42578125" bestFit="1" customWidth="1"/>
    <col min="33" max="34" width="11.28515625" bestFit="1" customWidth="1"/>
    <col min="35" max="47" width="12.42578125" bestFit="1" customWidth="1"/>
    <col min="48" max="48" width="11.28515625" bestFit="1" customWidth="1"/>
    <col min="49" max="49" width="12.42578125" bestFit="1" customWidth="1"/>
    <col min="50" max="52" width="11.28515625" bestFit="1" customWidth="1"/>
    <col min="53" max="53" width="12.42578125" bestFit="1" customWidth="1"/>
    <col min="54" max="54" width="11.5703125" bestFit="1" customWidth="1"/>
    <col min="55" max="55" width="9.5703125" bestFit="1" customWidth="1"/>
    <col min="56" max="56" width="11.28515625" bestFit="1" customWidth="1"/>
    <col min="57" max="59" width="12.42578125" bestFit="1" customWidth="1"/>
    <col min="60" max="60" width="11.28515625" bestFit="1" customWidth="1"/>
    <col min="61" max="61" width="12.42578125" bestFit="1" customWidth="1"/>
    <col min="62" max="62" width="11.5703125" bestFit="1" customWidth="1"/>
    <col min="63" max="65" width="12.42578125" bestFit="1" customWidth="1"/>
    <col min="66" max="67" width="11.28515625" bestFit="1" customWidth="1"/>
    <col min="68" max="70" width="12.42578125" bestFit="1" customWidth="1"/>
    <col min="71" max="71" width="11.28515625" bestFit="1" customWidth="1"/>
    <col min="72" max="72" width="12.42578125" bestFit="1" customWidth="1"/>
    <col min="73" max="73" width="11.28515625" bestFit="1" customWidth="1"/>
    <col min="74" max="76" width="12.42578125" bestFit="1" customWidth="1"/>
    <col min="77" max="77" width="11.28515625" bestFit="1" customWidth="1"/>
    <col min="78" max="78" width="12.42578125" bestFit="1" customWidth="1"/>
    <col min="79" max="80" width="11.5703125" bestFit="1" customWidth="1"/>
    <col min="81" max="82" width="12.42578125" bestFit="1" customWidth="1"/>
    <col min="83" max="83" width="13.5703125" bestFit="1" customWidth="1"/>
    <col min="84" max="84" width="11.28515625" bestFit="1" customWidth="1"/>
    <col min="85" max="85" width="12.42578125" bestFit="1" customWidth="1"/>
    <col min="86" max="86" width="11.28515625" bestFit="1" customWidth="1"/>
    <col min="87" max="93" width="12.42578125" bestFit="1" customWidth="1"/>
    <col min="94" max="94" width="11.28515625" bestFit="1" customWidth="1"/>
    <col min="95" max="96" width="12.42578125" bestFit="1" customWidth="1"/>
    <col min="97" max="97" width="11.28515625" bestFit="1" customWidth="1"/>
    <col min="98" max="98" width="11.5703125" bestFit="1" customWidth="1"/>
    <col min="99" max="99" width="12.42578125" bestFit="1" customWidth="1"/>
    <col min="100" max="100" width="11.28515625" bestFit="1" customWidth="1"/>
    <col min="101" max="101" width="12.42578125" bestFit="1" customWidth="1"/>
    <col min="102" max="102" width="11.28515625" bestFit="1" customWidth="1"/>
    <col min="103" max="106" width="12.42578125" bestFit="1" customWidth="1"/>
    <col min="107" max="107" width="13.5703125" bestFit="1" customWidth="1"/>
    <col min="108" max="108" width="12.42578125" bestFit="1" customWidth="1"/>
    <col min="109" max="110" width="11.5703125" bestFit="1" customWidth="1"/>
    <col min="111" max="113" width="12.42578125" bestFit="1" customWidth="1"/>
    <col min="114" max="116" width="11.28515625" bestFit="1" customWidth="1"/>
    <col min="117" max="117" width="12.42578125" bestFit="1" customWidth="1"/>
    <col min="118" max="118" width="11.28515625" bestFit="1" customWidth="1"/>
    <col min="119" max="119" width="12.42578125" bestFit="1" customWidth="1"/>
    <col min="120" max="120" width="13.5703125" bestFit="1" customWidth="1"/>
    <col min="121" max="122" width="12.42578125" bestFit="1" customWidth="1"/>
    <col min="123" max="123" width="11.28515625" bestFit="1" customWidth="1"/>
    <col min="124" max="127" width="12.42578125" bestFit="1" customWidth="1"/>
    <col min="128" max="128" width="11.28515625" bestFit="1" customWidth="1"/>
    <col min="129" max="129" width="12.42578125" bestFit="1" customWidth="1"/>
    <col min="130" max="133" width="11.28515625" bestFit="1" customWidth="1"/>
    <col min="134" max="134" width="12.42578125" bestFit="1" customWidth="1"/>
    <col min="135" max="135" width="11.28515625" bestFit="1" customWidth="1"/>
    <col min="136" max="136" width="12.42578125" bestFit="1" customWidth="1"/>
    <col min="137" max="137" width="11.28515625" bestFit="1" customWidth="1"/>
    <col min="138" max="140" width="12.42578125" bestFit="1" customWidth="1"/>
    <col min="141" max="142" width="11.5703125" bestFit="1" customWidth="1"/>
    <col min="143" max="143" width="11.28515625" bestFit="1" customWidth="1"/>
    <col min="144" max="144" width="12.42578125" bestFit="1" customWidth="1"/>
    <col min="145" max="145" width="11.28515625" bestFit="1" customWidth="1"/>
    <col min="146" max="149" width="12.42578125" bestFit="1" customWidth="1"/>
    <col min="150" max="150" width="11.28515625" bestFit="1" customWidth="1"/>
    <col min="151" max="151" width="12.42578125" bestFit="1" customWidth="1"/>
    <col min="152" max="152" width="11.28515625" bestFit="1" customWidth="1"/>
    <col min="153" max="153" width="12.42578125" bestFit="1" customWidth="1"/>
    <col min="154" max="154" width="11.28515625" bestFit="1" customWidth="1"/>
    <col min="155" max="155" width="12.42578125" bestFit="1" customWidth="1"/>
    <col min="156" max="158" width="11.28515625" bestFit="1" customWidth="1"/>
    <col min="159" max="160" width="12.42578125" bestFit="1" customWidth="1"/>
    <col min="161" max="163" width="11.28515625" bestFit="1" customWidth="1"/>
    <col min="164" max="167" width="12.42578125" bestFit="1" customWidth="1"/>
    <col min="168" max="168" width="11.28515625" bestFit="1" customWidth="1"/>
    <col min="169" max="169" width="12.42578125" bestFit="1" customWidth="1"/>
    <col min="170" max="170" width="11.28515625" bestFit="1" customWidth="1"/>
    <col min="171" max="172" width="11.5703125" bestFit="1" customWidth="1"/>
    <col min="173" max="173" width="11.28515625" bestFit="1" customWidth="1"/>
    <col min="174" max="174" width="12.42578125" bestFit="1" customWidth="1"/>
    <col min="175" max="175" width="11.28515625" bestFit="1" customWidth="1"/>
    <col min="176" max="176" width="12.42578125" bestFit="1" customWidth="1"/>
    <col min="177" max="177" width="11.5703125" bestFit="1" customWidth="1"/>
    <col min="178" max="178" width="11.28515625" bestFit="1" customWidth="1"/>
    <col min="179" max="179" width="12.42578125" bestFit="1" customWidth="1"/>
    <col min="180" max="181" width="11.28515625" bestFit="1" customWidth="1"/>
    <col min="182" max="182" width="12.42578125" bestFit="1" customWidth="1"/>
    <col min="183" max="184" width="11.28515625" bestFit="1" customWidth="1"/>
    <col min="185" max="187" width="12.42578125" bestFit="1" customWidth="1"/>
    <col min="188" max="192" width="11.28515625" bestFit="1" customWidth="1"/>
    <col min="193" max="193" width="9.5703125" bestFit="1" customWidth="1"/>
    <col min="194" max="194" width="11.28515625" bestFit="1" customWidth="1"/>
    <col min="195" max="196" width="12.42578125" bestFit="1" customWidth="1"/>
    <col min="197" max="197" width="21.7109375" bestFit="1" customWidth="1"/>
    <col min="198" max="201" width="10.42578125" bestFit="1" customWidth="1"/>
    <col min="202" max="203" width="11.5703125" bestFit="1" customWidth="1"/>
    <col min="204" max="210" width="10.42578125" bestFit="1" customWidth="1"/>
    <col min="211" max="215" width="11.5703125" bestFit="1" customWidth="1"/>
    <col min="216" max="225" width="10.42578125" bestFit="1" customWidth="1"/>
    <col min="226" max="226" width="11.5703125" bestFit="1" customWidth="1"/>
    <col min="227" max="227" width="10.42578125" bestFit="1" customWidth="1"/>
    <col min="228" max="228" width="9.28515625" bestFit="1" customWidth="1"/>
    <col min="229" max="229" width="10.42578125" bestFit="1" customWidth="1"/>
    <col min="230" max="235" width="9.28515625" bestFit="1" customWidth="1"/>
    <col min="236" max="237" width="10.42578125" bestFit="1" customWidth="1"/>
    <col min="238" max="242" width="9.28515625" bestFit="1" customWidth="1"/>
    <col min="243" max="243" width="10.42578125" bestFit="1" customWidth="1"/>
    <col min="244" max="244" width="11.5703125" bestFit="1" customWidth="1"/>
    <col min="245" max="248" width="9.28515625" bestFit="1" customWidth="1"/>
    <col min="249" max="249" width="11.5703125" bestFit="1" customWidth="1"/>
    <col min="250" max="252" width="9.28515625" bestFit="1" customWidth="1"/>
    <col min="253" max="255" width="10.42578125" bestFit="1" customWidth="1"/>
    <col min="256" max="257" width="11.5703125" bestFit="1" customWidth="1"/>
    <col min="258" max="259" width="10.42578125" bestFit="1" customWidth="1"/>
    <col min="260" max="260" width="9.28515625" bestFit="1" customWidth="1"/>
    <col min="261" max="262" width="10.42578125" bestFit="1" customWidth="1"/>
    <col min="263" max="263" width="9.28515625" bestFit="1" customWidth="1"/>
    <col min="264" max="265" width="11.5703125" bestFit="1" customWidth="1"/>
    <col min="266" max="267" width="9.28515625" bestFit="1" customWidth="1"/>
    <col min="268" max="270" width="10.42578125" bestFit="1" customWidth="1"/>
    <col min="271" max="271" width="9.28515625" bestFit="1" customWidth="1"/>
    <col min="272" max="273" width="10.42578125" bestFit="1" customWidth="1"/>
    <col min="274" max="275" width="11.5703125" bestFit="1" customWidth="1"/>
    <col min="276" max="276" width="10.42578125" bestFit="1" customWidth="1"/>
    <col min="277" max="277" width="11.5703125" bestFit="1" customWidth="1"/>
    <col min="278" max="278" width="10.42578125" bestFit="1" customWidth="1"/>
    <col min="279" max="279" width="9.28515625" bestFit="1" customWidth="1"/>
    <col min="280" max="280" width="10.42578125" bestFit="1" customWidth="1"/>
    <col min="281" max="281" width="9.28515625" bestFit="1" customWidth="1"/>
    <col min="282" max="286" width="10.42578125" bestFit="1" customWidth="1"/>
    <col min="287" max="287" width="9.28515625" bestFit="1" customWidth="1"/>
    <col min="288" max="289" width="10.42578125" bestFit="1" customWidth="1"/>
    <col min="290" max="291" width="11.5703125" bestFit="1" customWidth="1"/>
    <col min="292" max="292" width="10.42578125" bestFit="1" customWidth="1"/>
    <col min="293" max="293" width="11.5703125" bestFit="1" customWidth="1"/>
    <col min="294" max="294" width="9.28515625" bestFit="1" customWidth="1"/>
    <col min="295" max="296" width="10.42578125" bestFit="1" customWidth="1"/>
    <col min="297" max="298" width="9.28515625" bestFit="1" customWidth="1"/>
    <col min="299" max="302" width="10.42578125" bestFit="1" customWidth="1"/>
    <col min="303" max="305" width="11.5703125" bestFit="1" customWidth="1"/>
    <col min="306" max="306" width="10.42578125" bestFit="1" customWidth="1"/>
    <col min="307" max="307" width="11.5703125" bestFit="1" customWidth="1"/>
    <col min="308" max="311" width="10.42578125" bestFit="1" customWidth="1"/>
    <col min="312" max="312" width="9.28515625" bestFit="1" customWidth="1"/>
    <col min="313" max="313" width="10.42578125" bestFit="1" customWidth="1"/>
    <col min="314" max="314" width="9.28515625" bestFit="1" customWidth="1"/>
    <col min="315" max="316" width="10.42578125" bestFit="1" customWidth="1"/>
    <col min="317" max="317" width="9.28515625" bestFit="1" customWidth="1"/>
    <col min="318" max="321" width="10.42578125" bestFit="1" customWidth="1"/>
    <col min="322" max="322" width="9.28515625" bestFit="1" customWidth="1"/>
    <col min="323" max="323" width="10.42578125" bestFit="1" customWidth="1"/>
    <col min="324" max="324" width="11.5703125" bestFit="1" customWidth="1"/>
    <col min="325" max="325" width="10.42578125" bestFit="1" customWidth="1"/>
    <col min="326" max="326" width="9.28515625" bestFit="1" customWidth="1"/>
    <col min="327" max="332" width="10.42578125" bestFit="1" customWidth="1"/>
    <col min="333" max="333" width="9.28515625" bestFit="1" customWidth="1"/>
    <col min="334" max="335" width="10.42578125" bestFit="1" customWidth="1"/>
    <col min="336" max="337" width="11.5703125" bestFit="1" customWidth="1"/>
    <col min="338" max="338" width="9.28515625" bestFit="1" customWidth="1"/>
    <col min="339" max="339" width="10.42578125" bestFit="1" customWidth="1"/>
    <col min="340" max="340" width="9.28515625" bestFit="1" customWidth="1"/>
    <col min="341" max="342" width="10.42578125" bestFit="1" customWidth="1"/>
    <col min="343" max="343" width="9.28515625" bestFit="1" customWidth="1"/>
    <col min="344" max="344" width="10.42578125" bestFit="1" customWidth="1"/>
    <col min="345" max="345" width="9.28515625" bestFit="1" customWidth="1"/>
    <col min="346" max="347" width="10.42578125" bestFit="1" customWidth="1"/>
    <col min="348" max="348" width="11.5703125" bestFit="1" customWidth="1"/>
    <col min="349" max="351" width="10.42578125" bestFit="1" customWidth="1"/>
    <col min="352" max="353" width="9.28515625" bestFit="1" customWidth="1"/>
    <col min="354" max="354" width="11.5703125" bestFit="1" customWidth="1"/>
    <col min="355" max="355" width="10.42578125" bestFit="1" customWidth="1"/>
    <col min="356" max="356" width="9.28515625" bestFit="1" customWidth="1"/>
    <col min="357" max="358" width="10.42578125" bestFit="1" customWidth="1"/>
    <col min="359" max="359" width="11.5703125" bestFit="1" customWidth="1"/>
    <col min="360" max="361" width="9.28515625" bestFit="1" customWidth="1"/>
    <col min="362" max="365" width="10.42578125" bestFit="1" customWidth="1"/>
    <col min="366" max="367" width="11.5703125" bestFit="1" customWidth="1"/>
    <col min="368" max="371" width="10.42578125" bestFit="1" customWidth="1"/>
    <col min="372" max="372" width="11.5703125" bestFit="1" customWidth="1"/>
    <col min="373" max="373" width="9.28515625" bestFit="1" customWidth="1"/>
    <col min="374" max="376" width="10.42578125" bestFit="1" customWidth="1"/>
    <col min="377" max="379" width="9.28515625" bestFit="1" customWidth="1"/>
    <col min="380" max="381" width="10.42578125" bestFit="1" customWidth="1"/>
    <col min="382" max="382" width="9.28515625" bestFit="1" customWidth="1"/>
    <col min="383" max="385" width="10.42578125" bestFit="1" customWidth="1"/>
    <col min="386" max="389" width="9.28515625" bestFit="1" customWidth="1"/>
    <col min="390" max="391" width="11.5703125" bestFit="1" customWidth="1"/>
    <col min="392" max="392" width="17.42578125" bestFit="1" customWidth="1"/>
    <col min="393" max="393" width="26.7109375" bestFit="1" customWidth="1"/>
  </cols>
  <sheetData>
    <row r="1" spans="1:3" x14ac:dyDescent="0.25">
      <c r="A1" s="9" t="s">
        <v>298</v>
      </c>
      <c r="B1" t="s">
        <v>299</v>
      </c>
    </row>
    <row r="2" spans="1:3" x14ac:dyDescent="0.25">
      <c r="A2" s="9" t="s">
        <v>314</v>
      </c>
      <c r="B2" t="s">
        <v>312</v>
      </c>
    </row>
    <row r="4" spans="1:3" x14ac:dyDescent="0.25">
      <c r="A4" s="9" t="s">
        <v>310</v>
      </c>
      <c r="B4" t="s">
        <v>313</v>
      </c>
      <c r="C4" t="s">
        <v>319</v>
      </c>
    </row>
    <row r="5" spans="1:3" x14ac:dyDescent="0.25">
      <c r="A5" s="10" t="s">
        <v>7</v>
      </c>
      <c r="B5" s="3">
        <v>13000000</v>
      </c>
      <c r="C5">
        <v>1</v>
      </c>
    </row>
    <row r="6" spans="1:3" x14ac:dyDescent="0.25">
      <c r="A6" s="10" t="s">
        <v>29</v>
      </c>
      <c r="B6" s="3">
        <v>22500000</v>
      </c>
      <c r="C6">
        <v>1</v>
      </c>
    </row>
    <row r="7" spans="1:3" x14ac:dyDescent="0.25">
      <c r="A7" s="10" t="s">
        <v>24</v>
      </c>
      <c r="B7" s="3">
        <v>8000000</v>
      </c>
      <c r="C7">
        <v>1</v>
      </c>
    </row>
    <row r="8" spans="1:3" x14ac:dyDescent="0.25">
      <c r="A8" s="10" t="s">
        <v>311</v>
      </c>
      <c r="B8" s="3">
        <v>43500000</v>
      </c>
      <c r="C8">
        <v>3</v>
      </c>
    </row>
  </sheetData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59C18C0A6ED048931E6D071DA340BE" ma:contentTypeVersion="19" ma:contentTypeDescription="Create a new document." ma:contentTypeScope="" ma:versionID="0c1accefc18e006ccd13660f718f1513">
  <xsd:schema xmlns:xsd="http://www.w3.org/2001/XMLSchema" xmlns:xs="http://www.w3.org/2001/XMLSchema" xmlns:p="http://schemas.microsoft.com/office/2006/metadata/properties" xmlns:ns2="d24c1b85-0b82-4cb7-988f-09f43703cb34" xmlns:ns3="21db1853-65f5-480a-8fef-9f815bd443ed" targetNamespace="http://schemas.microsoft.com/office/2006/metadata/properties" ma:root="true" ma:fieldsID="ce7cd276a5161a6d24d83f9454d4cb3f" ns2:_="" ns3:_="">
    <xsd:import namespace="d24c1b85-0b82-4cb7-988f-09f43703cb34"/>
    <xsd:import namespace="21db1853-65f5-480a-8fef-9f815bd443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4c1b85-0b82-4cb7-988f-09f43703c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ce671e0-2aae-4c8d-b367-8bb3494c1b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db1853-65f5-480a-8fef-9f815bd443e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af7e30-013f-4d24-8684-d5235889ac89}" ma:internalName="TaxCatchAll" ma:showField="CatchAllData" ma:web="21db1853-65f5-480a-8fef-9f815bd443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4c1b85-0b82-4cb7-988f-09f43703cb34">
      <Terms xmlns="http://schemas.microsoft.com/office/infopath/2007/PartnerControls"/>
    </lcf76f155ced4ddcb4097134ff3c332f>
    <TaxCatchAll xmlns="21db1853-65f5-480a-8fef-9f815bd443e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E0242B-B918-4A59-A95C-35F08371E7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4c1b85-0b82-4cb7-988f-09f43703cb34"/>
    <ds:schemaRef ds:uri="21db1853-65f5-480a-8fef-9f815bd443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F076AE-AF8F-42C2-B5AB-950367D595BF}">
  <ds:schemaRefs>
    <ds:schemaRef ds:uri="http://schemas.microsoft.com/office/2006/metadata/properties"/>
    <ds:schemaRef ds:uri="http://schemas.microsoft.com/office/infopath/2007/PartnerControls"/>
    <ds:schemaRef ds:uri="d24c1b85-0b82-4cb7-988f-09f43703cb34"/>
    <ds:schemaRef ds:uri="21db1853-65f5-480a-8fef-9f815bd443ed"/>
  </ds:schemaRefs>
</ds:datastoreItem>
</file>

<file path=customXml/itemProps3.xml><?xml version="1.0" encoding="utf-8"?>
<ds:datastoreItem xmlns:ds="http://schemas.openxmlformats.org/officeDocument/2006/customXml" ds:itemID="{31FAFC2A-CADB-4029-8145-E2ADD25B25C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c970d48-f7b9-48b0-9606-072fbefb514d}" enabled="1" method="Standard" siteId="{049e3382-8cdc-477b-9317-951b0468966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CISG Experience</vt:lpstr>
      <vt:lpstr>Summary Stats</vt:lpstr>
      <vt:lpstr>'CISG Experience'!Print_Area</vt:lpstr>
    </vt:vector>
  </TitlesOfParts>
  <Company>Colliers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Wember-Brown, Kai</dc:creator>
  <cp:lastModifiedBy>Wember-Brown, Kai</cp:lastModifiedBy>
  <dcterms:created xsi:type="dcterms:W3CDTF">2026-01-28T00:52:51Z</dcterms:created>
  <dcterms:modified xsi:type="dcterms:W3CDTF">2026-07-09T17:05:14Z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0x0101003B59C18C0A6ED048931E6D071DA340BE</vt:lpwstr>
  </property>
</Properties>
</file>